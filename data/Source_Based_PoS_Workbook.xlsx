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4d50c70eb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18d7fc56ac4d7c"/>
    <x:sheet xmlns:r="http://schemas.openxmlformats.org/officeDocument/2006/relationships" name="Calculator" sheetId="2" r:id="R070bbcf5ffc740df"/>
    <x:sheet xmlns:r="http://schemas.openxmlformats.org/officeDocument/2006/relationships" name="AllBenchmarks" sheetId="3" r:id="Re291dce222234d7f"/>
    <x:sheet xmlns:r="http://schemas.openxmlformats.org/officeDocument/2006/relationships" name="Disease_Area" sheetId="4" r:id="Ra0ae309a9aa04607"/>
    <x:sheet xmlns:r="http://schemas.openxmlformats.org/officeDocument/2006/relationships" name="Modality" sheetId="5" r:id="Rb1f728fa665f43e8"/>
    <x:sheet xmlns:r="http://schemas.openxmlformats.org/officeDocument/2006/relationships" name="DrugClass_Novelty" sheetId="6" r:id="Rc4e583d77571437f"/>
    <x:sheet xmlns:r="http://schemas.openxmlformats.org/officeDocument/2006/relationships" name="Segments" sheetId="7" r:id="R80f1d9b47ad04cb9"/>
    <x:sheet xmlns:r="http://schemas.openxmlformats.org/officeDocument/2006/relationships" name="Lists" sheetId="8" r:id="R4f8d84bed50a4b4e"/>
    <x:sheet xmlns:r="http://schemas.openxmlformats.org/officeDocument/2006/relationships" name="Method_Notes" sheetId="9" r:id="R8bdf2b5b93d749d7"/>
    <x:sheet xmlns:r="http://schemas.openxmlformats.org/officeDocument/2006/relationships" name="Visuals" sheetId="10" r:id="R3c8aa159ca56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%;[Red](0.0%);-"/>
    <x:numFmt numFmtId="202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4a996cd6c42ff" /><Relationship Type="http://schemas.openxmlformats.org/officeDocument/2006/relationships/theme" Target="/xl/theme/theme1.xml" Id="R79640a88636b49b9" /><Relationship Type="http://schemas.openxmlformats.org/officeDocument/2006/relationships/sharedStrings" Target="/xl/sharedStrings.xml" Id="R9c1eb77a54354379" /><Relationship Type="http://schemas.openxmlformats.org/officeDocument/2006/relationships/worksheet" Target="/xl/worksheets/sheet1.xml" Id="Rd318d7fc56ac4d7c" /><Relationship Type="http://schemas.openxmlformats.org/officeDocument/2006/relationships/worksheet" Target="/xl/worksheets/sheet2.xml" Id="R070bbcf5ffc740df" /><Relationship Type="http://schemas.openxmlformats.org/officeDocument/2006/relationships/worksheet" Target="/xl/worksheets/sheet3.xml" Id="Re291dce222234d7f" /><Relationship Type="http://schemas.openxmlformats.org/officeDocument/2006/relationships/worksheet" Target="/xl/worksheets/sheet4.xml" Id="Ra0ae309a9aa04607" /><Relationship Type="http://schemas.openxmlformats.org/officeDocument/2006/relationships/worksheet" Target="/xl/worksheets/sheet5.xml" Id="Rb1f728fa665f43e8" /><Relationship Type="http://schemas.openxmlformats.org/officeDocument/2006/relationships/worksheet" Target="/xl/worksheets/sheet6.xml" Id="Rc4e583d77571437f" /><Relationship Type="http://schemas.openxmlformats.org/officeDocument/2006/relationships/worksheet" Target="/xl/worksheets/sheet7.xml" Id="R80f1d9b47ad04cb9" /><Relationship Type="http://schemas.openxmlformats.org/officeDocument/2006/relationships/worksheet" Target="/xl/worksheets/sheet8.xml" Id="R4f8d84bed50a4b4e" /><Relationship Type="http://schemas.openxmlformats.org/officeDocument/2006/relationships/worksheet" Target="/xl/worksheets/sheet9.xml" Id="R8bdf2b5b93d749d7" /><Relationship Type="http://schemas.openxmlformats.org/officeDocument/2006/relationships/worksheet" Target="/xl/worksheets/sheet10.xml" Id="R3c8aa159ca5645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567a9f289d4b4e" /><Relationship Type="http://schemas.openxmlformats.org/officeDocument/2006/relationships/chart" Target="/xl/drawings/charts/chart2.xml" Id="Rf90541bd56ea4c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 I to Approval LOA by Disease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Phase I to Approval LOA</c:v>
          </c:tx>
          <c:cat>
            <c:strRef>
              <c:f>'Visuals'!$A$2:$A$17</c:f>
              <c:strCache>
                <c:ptCount val="0"/>
              </c:strCache>
            </c:strRef>
          </c:cat>
          <c:val>
            <c:numRef>
              <c:f>'Visuals'!$B$2:$B$17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 I to Approval LOA by Modality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Phase I to Approval LOA</c:v>
          </c:tx>
          <c:cat>
            <c:strRef>
              <c:f>'Visuals'!$D$2:$D$11</c:f>
              <c:strCache>
                <c:ptCount val="0"/>
              </c:strCache>
            </c:strRef>
          </c:cat>
          <c:val>
            <c:numRef>
              <c:f>'Visuals'!$E$2:$E$11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567a9f289d4b4e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0541bd56ea4c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AllBenchmarksTable" displayName="AllBenchmarksTable" ref="A1:I173" headerRowCount="1">
  <x:tableColumns count="9">
    <x:tableColumn id="1" name="Key"/>
    <x:tableColumn id="2" name="Benchmark Group"/>
    <x:tableColumn id="3" name="Benchmark Name"/>
    <x:tableColumn id="4" name="Current Phase"/>
    <x:tableColumn id="5" name="Phase LOA"/>
    <x:tableColumn id="6" name="LOA n"/>
    <x:tableColumn id="7" name="Source Figure"/>
    <x:tableColumn id="8" name="Source Page(s)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DiseaseAreaTable" displayName="DiseaseAreaTable" ref="A1:T17" headerRowCount="1">
  <x:tableColumns count="20">
    <x:tableColumn id="1" name="Benchmark"/>
    <x:tableColumn id="2" name="Phase I to II n"/>
    <x:tableColumn id="3" name="Phase I to II POS"/>
    <x:tableColumn id="4" name="Phase II to III n"/>
    <x:tableColumn id="5" name="Phase II to III POS"/>
    <x:tableColumn id="6" name="Phase III to NDA/BLA n"/>
    <x:tableColumn id="7" name="Phase III to NDA/BLA POS"/>
    <x:tableColumn id="8" name="NDA/BLA n"/>
    <x:tableColumn id="9" name="NDA/BLA POS"/>
    <x:tableColumn id="10" name="Phase I n"/>
    <x:tableColumn id="11" name="Phase I to Approval"/>
    <x:tableColumn id="12" name="Phase II n"/>
    <x:tableColumn id="13" name="Phase II to Approval"/>
    <x:tableColumn id="14" name="Phase III n"/>
    <x:tableColumn id="15" name="Phase III to Approval"/>
    <x:tableColumn id="16" name="NDA/BLA Approval n"/>
    <x:tableColumn id="17" name="NDA/BLA to Approval"/>
    <x:tableColumn id="18" name="Source Figure"/>
    <x:tableColumn id="19" name="Source Pages"/>
    <x:tableColumn id="20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ModalityTable" displayName="ModalityTable" ref="A1:T11" headerRowCount="1">
  <x:tableColumns count="20">
    <x:tableColumn id="1" name="Benchmark"/>
    <x:tableColumn id="2" name="Phase I to II n"/>
    <x:tableColumn id="3" name="Phase I to II POS"/>
    <x:tableColumn id="4" name="Phase II to III n"/>
    <x:tableColumn id="5" name="Phase II to III POS"/>
    <x:tableColumn id="6" name="Phase III to NDA/BLA n"/>
    <x:tableColumn id="7" name="Phase III to NDA/BLA POS"/>
    <x:tableColumn id="8" name="NDA/BLA n"/>
    <x:tableColumn id="9" name="NDA/BLA POS"/>
    <x:tableColumn id="10" name="Phase I n"/>
    <x:tableColumn id="11" name="Phase I to Approval"/>
    <x:tableColumn id="12" name="Phase II n"/>
    <x:tableColumn id="13" name="Phase II to Approval"/>
    <x:tableColumn id="14" name="Phase III n"/>
    <x:tableColumn id="15" name="Phase III to Approval"/>
    <x:tableColumn id="16" name="NDA/BLA Approval n"/>
    <x:tableColumn id="17" name="NDA/BLA to Approval"/>
    <x:tableColumn id="18" name="Source Figure"/>
    <x:tableColumn id="19" name="Source Pages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DrugClassTable" displayName="DrugClassTable" ref="A1:T8" headerRowCount="1">
  <x:tableColumns count="20">
    <x:tableColumn id="1" name="Benchmark"/>
    <x:tableColumn id="2" name="Phase I to II n"/>
    <x:tableColumn id="3" name="Phase I to II POS"/>
    <x:tableColumn id="4" name="Phase II to III n"/>
    <x:tableColumn id="5" name="Phase II to III POS"/>
    <x:tableColumn id="6" name="Phase III to NDA/BLA n"/>
    <x:tableColumn id="7" name="Phase III to NDA/BLA POS"/>
    <x:tableColumn id="8" name="NDA/BLA n"/>
    <x:tableColumn id="9" name="NDA/BLA POS"/>
    <x:tableColumn id="10" name="Phase I n"/>
    <x:tableColumn id="11" name="Phase I to Approval"/>
    <x:tableColumn id="12" name="Phase II n"/>
    <x:tableColumn id="13" name="Phase II to Approval"/>
    <x:tableColumn id="14" name="Phase III n"/>
    <x:tableColumn id="15" name="Phase III to Approval"/>
    <x:tableColumn id="16" name="NDA/BLA Approval n"/>
    <x:tableColumn id="17" name="NDA/BLA to Approval"/>
    <x:tableColumn id="18" name="Source Figure"/>
    <x:tableColumn id="19" name="Source Pages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74a511098db40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8f167ae098242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b97a0f730ea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0dc7ff9f22146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0f0c626a28f845e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2" t="str">
        <x:v>PoS Reference Workbook</x:v>
      </x:c>
      <x:c r="B1" s="12"/>
    </x:row>
    <x:row r="2">
      <x:c r="A2" s="13" t="str">
        <x:v>Purpose</x:v>
      </x:c>
      <x:c r="B2" s="10" t="str">
        <x:v>Source-based lookup workbook for clinical development probability of success / likelihood of approval by current phase, disease area, modality, novelty/class, oncology grouping, prevalence group, and biomarker use.</x:v>
      </x:c>
    </x:row>
    <x:row r="3">
      <x:c r="A3" s="13" t="str">
        <x:v>Source</x:v>
      </x:c>
      <x:c r="B3" s="10" t="str">
        <x:v>Clinical Development Success Rates and Contributing Factors 2011–2020, BIO | QLS Advisors | Informa Pharma Intelligence, February 2021. Attached PDF only; no internet sources used.</x:v>
      </x:c>
    </x:row>
    <x:row r="4">
      <x:c r="A4" s="13" t="str">
        <x:v>Important method note</x:v>
      </x:c>
      <x:c r="B4" s="10" t="str">
        <x:v>The source defines LOA as the probability of reaching FDA approval from the current phase, calculated as the product of each phase success probability leading to FDA approval.</x:v>
      </x:c>
    </x:row>
    <x:row r="5">
      <x:c r="A5" s="13" t="str">
        <x:v>Important n note</x:v>
      </x:c>
      <x:c r="B5" s="10" t="str">
        <x:v>The n value represents Advanced + Suspended transitions included in the calculation, and the source says n should be taken into account when drawing conclusions.</x:v>
      </x:c>
    </x:row>
    <x:row r="6">
      <x:c r="A6" s="13" t="str">
        <x:v>Program definition</x:v>
      </x:c>
      <x:c r="B6" s="10" t="str">
        <x:v>The source tracks a specific drug-indication development path, so a molecule in two indications is treated as two paths.</x:v>
      </x:c>
    </x:row>
    <x:row r="7">
      <x:c r="A7" s="13" t="str">
        <x:v>Calculator default</x:v>
      </x:c>
      <x:c r="B7" s="10" t="str">
        <x:v>Primary source-only PoS uses the selected disease-area LOA for the chosen current phase, because the source states indication is consistently the top variable across phases.</x:v>
      </x:c>
    </x:row>
    <x:row r="8">
      <x:c r="A8" s="13" t="str">
        <x:v>Composite output</x:v>
      </x:c>
      <x:c r="B8" s="10" t="str">
        <x:v>The N-weighted composite is a mechanical average of selected benchmark LOAs using only source-provided n values. The source does not provide disease × modality cross-tabs or official blend weights.</x:v>
      </x:c>
    </x:row>
    <x:row r="9">
      <x:c r="A9" s="13" t="str">
        <x:v>Percent formatting</x:v>
      </x:c>
      <x:c r="B9" s="10" t="str">
        <x:v>All PoS / LOA / transition percentages are stored as decimals and formatted as percentages.</x:v>
      </x:c>
    </x:row>
    <x:row r="10">
      <x:c r="A10" s="13" t="str">
        <x:v>Last built</x:v>
      </x:c>
      <x:c r="B10" s="10" t="str">
        <x:v>2026-06-23 23:29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72" hidden="0" customWidth="1"/>
  </x:cols>
  <x:sheetData>
    <x:row r="1" ht="26" customHeight="1">
      <x:c r="A1" s="40" t="str">
        <x:v>Clinical Development PoS Calculator</x:v>
      </x:c>
      <x:c r="B1" s="10"/>
      <x:c r="C1" s="10"/>
      <x:c r="D1" s="10"/>
      <x:c r="E1" s="10"/>
      <x:c r="F1" s="10"/>
    </x:row>
    <x:row r="2">
      <x:c r="A2" s="20" t="str">
        <x:v>All rates below are pulled from the attached BIO/QLS/Informa 2011–2020 success-rate source.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>
      <x:c r="A4" s="41" t="str">
        <x:v>Input</x:v>
      </x:c>
      <x:c r="B4" s="41" t="str">
        <x:v>Selection</x:v>
      </x:c>
      <x:c r="C4" s="10"/>
      <x:c r="D4" s="10"/>
      <x:c r="E4" s="10"/>
      <x:c r="F4" s="10"/>
    </x:row>
    <x:row r="5">
      <x:c r="A5" s="10" t="str">
        <x:v>Current phase</x:v>
      </x:c>
      <x:c r="B5" s="42" t="str">
        <x:v>Phase II</x:v>
      </x:c>
      <x:c r="C5" s="10"/>
      <x:c r="D5" s="10"/>
      <x:c r="E5" s="10"/>
      <x:c r="F5" s="10"/>
    </x:row>
    <x:row r="6">
      <x:c r="A6" s="10" t="str">
        <x:v>Disease area</x:v>
      </x:c>
      <x:c r="B6" s="42" t="str">
        <x:v>Autoimmune</x:v>
      </x:c>
      <x:c r="C6" s="10"/>
      <x:c r="D6" s="10"/>
      <x:c r="E6" s="10"/>
      <x:c r="F6" s="10"/>
    </x:row>
    <x:row r="7">
      <x:c r="A7" s="10" t="str">
        <x:v>Modality</x:v>
      </x:c>
      <x:c r="B7" s="42" t="str">
        <x:v>Small molecule</x:v>
      </x:c>
      <x:c r="C7" s="10"/>
      <x:c r="D7" s="10"/>
      <x:c r="E7" s="10"/>
      <x:c r="F7" s="10"/>
    </x:row>
    <x:row r="8">
      <x:c r="A8" s="10" t="str">
        <x:v>Drug class / novelty</x:v>
      </x:c>
      <x:c r="B8" s="42" t="str">
        <x:v>NME</x:v>
      </x:c>
      <x:c r="C8" s="10"/>
      <x:c r="D8" s="10"/>
      <x:c r="E8" s="10"/>
      <x:c r="F8" s="10"/>
    </x:row>
    <x:row r="9">
      <x:c r="A9" s="10" t="str">
        <x:v>Oncology group</x:v>
      </x:c>
      <x:c r="B9" s="42" t="str">
        <x:v>N/A</x:v>
      </x:c>
      <x:c r="C9" s="10"/>
      <x:c r="D9" s="10"/>
      <x:c r="E9" s="10"/>
      <x:c r="F9" s="10"/>
    </x:row>
    <x:row r="10">
      <x:c r="A10" s="10" t="str">
        <x:v>Prevalence category</x:v>
      </x:c>
      <x:c r="B10" s="42" t="str">
        <x:v>N/A</x:v>
      </x:c>
      <x:c r="C10" s="10"/>
      <x:c r="D10" s="10"/>
      <x:c r="E10" s="10"/>
      <x:c r="F10" s="10"/>
    </x:row>
    <x:row r="11">
      <x:c r="A11" s="10" t="str">
        <x:v>Biomarker status</x:v>
      </x:c>
      <x:c r="B11" s="42" t="str">
        <x:v>N/A</x:v>
      </x:c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  <x:row r="13">
      <x:c r="A13" s="41" t="str">
        <x:v>Outputs</x:v>
      </x:c>
      <x:c r="B13" s="41" t="str"/>
      <x:c r="C13" s="41" t="str"/>
      <x:c r="D13" s="41" t="str"/>
      <x:c r="E13" s="41" t="str"/>
      <x:c r="F13" s="41" t="str"/>
    </x:row>
    <x:row r="14">
      <x:c r="A14" s="13" t="str">
        <x:v>Benchmark Type</x:v>
      </x:c>
      <x:c r="B14" s="13" t="str">
        <x:v>Selected Benchmark</x:v>
      </x:c>
      <x:c r="C14" s="13" t="str">
        <x:v>Current-Phase LOA</x:v>
      </x:c>
      <x:c r="D14" s="13" t="str">
        <x:v>Source n</x:v>
      </x:c>
      <x:c r="E14" s="13" t="str">
        <x:v>N weight</x:v>
      </x:c>
      <x:c r="F14" s="13" t="str">
        <x:v>Source / Notes</x:v>
      </x:c>
    </x:row>
    <x:row r="15">
      <x:c r="A15" s="10" t="str">
        <x:v>Disease area</x:v>
      </x:c>
      <x:c r="B15" s="10" t="str">
        <x:f>$B$6</x:f>
        <x:v>Autoimmune</x:v>
      </x:c>
      <x:c r="C15" s="48" t="n">
        <x:f>IFERROR(VLOOKUP("Disease Area|"&amp;$B$15&amp;"|"&amp;$B$5,AllBenchmarks!$A:$I,5,FALSE),"")</x:f>
        <x:v>0.193</x:v>
      </x:c>
      <x:c r="D15" s="52" t="n">
        <x:f>IFERROR(VLOOKUP("Disease Area|"&amp;$B$15&amp;"|"&amp;$B$5,AllBenchmarks!$A:$I,6,FALSE),"")</x:f>
        <x:v>892</x:v>
      </x:c>
      <x:c r="E15" s="48" t="n">
        <x:f>IFERROR(D15/SUM($D$15:$D$21),"")</x:f>
        <x:v>0.04856536179016715</x:v>
      </x:c>
      <x:c r="F15" s="10" t="str">
        <x:f>IFERROR(VLOOKUP("Disease Area|"&amp;$B$15&amp;"|"&amp;$B$5,AllBenchmarks!$A:$I,7,FALSE)&amp;" | p. "&amp;VLOOKUP("Disease Area|"&amp;$B$15&amp;"|"&amp;$B$5,AllBenchmarks!$A:$I,8,FALSE)&amp;" | "&amp;VLOOKUP("Disease Area|"&amp;$B$15&amp;"|"&amp;$B$5,AllBenchmarks!$A:$I,9,FALSE),"")</x:f>
        <x:v>Figure 2 transition POS; Figure 5b LOA | p. 7, 11 | Disease-area benchmark from 14 major disease groupings plus All indications.</x:v>
      </x:c>
    </x:row>
    <x:row r="16">
      <x:c r="A16" s="10" t="str">
        <x:v>Modality</x:v>
      </x:c>
      <x:c r="B16" s="10" t="str">
        <x:f>$B$7</x:f>
        <x:v>Small molecule</x:v>
      </x:c>
      <x:c r="C16" s="48" t="n">
        <x:f>IFERROR(VLOOKUP("Modality|"&amp;$B$16&amp;"|"&amp;$B$5,AllBenchmarks!$A:$I,5,FALSE),"")</x:f>
        <x:v>0.143</x:v>
      </x:c>
      <x:c r="D16" s="52" t="n">
        <x:f>IFERROR(VLOOKUP("Modality|"&amp;$B$16&amp;"|"&amp;$B$5,AllBenchmarks!$A:$I,6,FALSE),"")</x:f>
        <x:v>4863</x:v>
      </x:c>
      <x:c r="E16" s="48" t="n">
        <x:f>IFERROR(D16/SUM($D$15:$D$21),"")</x:f>
        <x:v>0.26476833451298526</x:v>
      </x:c>
      <x:c r="F16" s="10" t="str">
        <x:f>IFERROR(VLOOKUP("Modality|"&amp;$B$16&amp;"|"&amp;$B$5,AllBenchmarks!$A:$I,7,FALSE)&amp;" | p. "&amp;VLOOKUP("Modality|"&amp;$B$16&amp;"|"&amp;$B$5,AllBenchmarks!$A:$I,8,FALSE)&amp;" | "&amp;VLOOKUP("Modality|"&amp;$B$16&amp;"|"&amp;$B$5,AllBenchmarks!$A:$I,9,FALSE),"")</x:f>
        <x:v>Figure 10b | p. 17 | Drug modality benchmark for selected novel modalities.</x:v>
      </x:c>
    </x:row>
    <x:row r="17">
      <x:c r="A17" s="10" t="str">
        <x:v>Drug class / novelty</x:v>
      </x:c>
      <x:c r="B17" s="10" t="str">
        <x:f>$B$8</x:f>
        <x:v>NME</x:v>
      </x:c>
      <x:c r="C17" s="48" t="n">
        <x:f>IFERROR(VLOOKUP("Drug Class/Novelty|"&amp;$B$17&amp;"|"&amp;$B$5,AllBenchmarks!$A:$I,5,FALSE),"")</x:f>
        <x:v>0.112</x:v>
      </x:c>
      <x:c r="D17" s="52" t="n">
        <x:f>IFERROR(VLOOKUP("Drug Class/Novelty|"&amp;$B$17&amp;"|"&amp;$B$5,AllBenchmarks!$A:$I,6,FALSE),"")</x:f>
        <x:v>4298</x:v>
      </x:c>
      <x:c r="E17" s="48" t="n">
        <x:f>IFERROR(D17/SUM($D$15:$D$21),"")</x:f>
        <x:v>0.23400664234768878</x:v>
      </x:c>
      <x:c r="F17" s="10" t="str">
        <x:f>IFERROR(VLOOKUP("Drug Class/Novelty|"&amp;$B$17&amp;"|"&amp;$B$5,AllBenchmarks!$A:$I,7,FALSE)&amp;" | p. "&amp;VLOOKUP("Drug Class/Novelty|"&amp;$B$17&amp;"|"&amp;$B$5,AllBenchmarks!$A:$I,8,FALSE)&amp;" | "&amp;VLOOKUP("Drug Class/Novelty|"&amp;$B$17&amp;"|"&amp;$B$5,AllBenchmarks!$A:$I,9,FALSE),"")</x:f>
        <x:v>Figure 9 | p. 15 | Class and novelty benchmark. Novel includes NME, biologic, vaccine; off-patent includes non-NME and biosimilar.</x:v>
      </x:c>
    </x:row>
    <x:row r="18">
      <x:c r="A18" s="10" t="str">
        <x:v>Oncology grouping</x:v>
      </x:c>
      <x:c r="B18" s="10" t="str">
        <x:f>$B$9</x:f>
        <x:v>N/A</x:v>
      </x:c>
      <x:c r="C18" s="48" t="str">
        <x:f>IF($B$18="N/A","",IFERROR(VLOOKUP("Oncology vs Non-oncology|"&amp;$B$18&amp;"|"&amp;$B$5,AllBenchmarks!$A:$I,5,FALSE),""))</x:f>
      </x:c>
      <x:c r="D18" s="52" t="str">
        <x:f>IF($B$18="N/A","",IFERROR(VLOOKUP("Oncology vs Non-oncology|"&amp;$B$18&amp;"|"&amp;$B$5,AllBenchmarks!$A:$I,6,FALSE),""))</x:f>
      </x:c>
      <x:c r="E18" s="48" t="n">
        <x:f>IFERROR(D18/SUM($D$15:$D$21),"")</x:f>
        <x:v>0</x:v>
      </x:c>
      <x:c r="F18" s="10" t="str">
        <x:f>IF($B$18="N/A","",IFERROR(VLOOKUP("Oncology vs Non-oncology|"&amp;$B$18&amp;"|"&amp;$B$5,AllBenchmarks!$A:$I,7,FALSE)&amp;" | p. "&amp;VLOOKUP("Oncology vs Non-oncology|"&amp;$B$18&amp;"|"&amp;$B$5,AllBenchmarks!$A:$I,8,FALSE)&amp;" | "&amp;VLOOKUP("Oncology vs Non-oncology|"&amp;$B$18&amp;"|"&amp;$B$5,AllBenchmarks!$A:$I,9,FALSE),""))</x:f>
      </x:c>
    </x:row>
    <x:row r="19">
      <x:c r="A19" s="10" t="str">
        <x:v>Prevalence group</x:v>
      </x:c>
      <x:c r="B19" s="10" t="str">
        <x:f>$B$10</x:f>
        <x:v>N/A</x:v>
      </x:c>
      <x:c r="C19" s="48" t="str">
        <x:f>IF($B$19="N/A","",IFERROR(VLOOKUP("Prevalence|"&amp;$B$19&amp;"|"&amp;$B$5,AllBenchmarks!$A:$I,5,FALSE),""))</x:f>
      </x:c>
      <x:c r="D19" s="52" t="str">
        <x:f>IF($B$19="N/A","",IFERROR(VLOOKUP("Prevalence|"&amp;$B$19&amp;"|"&amp;$B$5,AllBenchmarks!$A:$I,6,FALSE),""))</x:f>
      </x:c>
      <x:c r="E19" s="48" t="n">
        <x:f>IFERROR(D19/SUM($D$15:$D$21),"")</x:f>
        <x:v>0</x:v>
      </x:c>
      <x:c r="F19" s="10" t="str">
        <x:f>IF($B$19="N/A","",IFERROR(VLOOKUP("Prevalence|"&amp;$B$19&amp;"|"&amp;$B$5,AllBenchmarks!$A:$I,7,FALSE)&amp;" | p. "&amp;VLOOKUP("Prevalence|"&amp;$B$19&amp;"|"&amp;$B$5,AllBenchmarks!$A:$I,8,FALSE)&amp;" | "&amp;VLOOKUP("Prevalence|"&amp;$B$19&amp;"|"&amp;$B$5,AllBenchmarks!$A:$I,9,FALSE),""))</x:f>
      </x:c>
    </x:row>
    <x:row r="20">
      <x:c r="A20" s="10" t="str">
        <x:v>Biomarker status</x:v>
      </x:c>
      <x:c r="B20" s="10" t="str">
        <x:f>$B$11</x:f>
        <x:v>N/A</x:v>
      </x:c>
      <x:c r="C20" s="48" t="str">
        <x:f>IF($B$20="N/A","",IFERROR(VLOOKUP("Biomarker|"&amp;$B$20&amp;"|"&amp;$B$5,AllBenchmarks!$A:$I,5,FALSE),""))</x:f>
      </x:c>
      <x:c r="D20" s="52" t="str">
        <x:f>IF($B$20="N/A","",IFERROR(VLOOKUP("Biomarker|"&amp;$B$20&amp;"|"&amp;$B$5,AllBenchmarks!$A:$I,6,FALSE),""))</x:f>
      </x:c>
      <x:c r="E20" s="48" t="n">
        <x:f>IFERROR(D20/SUM($D$15:$D$21),"")</x:f>
        <x:v>0</x:v>
      </x:c>
      <x:c r="F20" s="10" t="str">
        <x:f>IF($B$20="N/A","",IFERROR(VLOOKUP("Biomarker|"&amp;$B$20&amp;"|"&amp;$B$5,AllBenchmarks!$A:$I,7,FALSE)&amp;" | p. "&amp;VLOOKUP("Biomarker|"&amp;$B$20&amp;"|"&amp;$B$5,AllBenchmarks!$A:$I,8,FALSE)&amp;" | "&amp;VLOOKUP("Biomarker|"&amp;$B$20&amp;"|"&amp;$B$5,AllBenchmarks!$A:$I,9,FALSE),""))</x:f>
      </x:c>
    </x:row>
    <x:row r="21">
      <x:c r="A21" s="10" t="str">
        <x:v>All indications fallback</x:v>
      </x:c>
      <x:c r="B21" s="10" t="str">
        <x:v>All indications</x:v>
      </x:c>
      <x:c r="C21" s="48" t="n">
        <x:f>IFERROR(VLOOKUP("Disease Area|"&amp;$B$21&amp;"|"&amp;$B$5,AllBenchmarks!$A:$I,5,FALSE),"")</x:f>
        <x:v>0.151</x:v>
      </x:c>
      <x:c r="D21" s="52" t="n">
        <x:f>IFERROR(VLOOKUP("Disease Area|"&amp;$B$21&amp;"|"&amp;$B$5,AllBenchmarks!$A:$I,6,FALSE),"")</x:f>
        <x:v>8314</x:v>
      </x:c>
      <x:c r="E21" s="48" t="n">
        <x:f>IFERROR(D21/SUM($D$15:$D$21),"")</x:f>
        <x:v>0.4526596613491588</x:v>
      </x:c>
      <x:c r="F21" s="10" t="str">
        <x:f>IFERROR(VLOOKUP("Disease Area|"&amp;$B$21&amp;"|"&amp;$B$5,AllBenchmarks!$A:$I,7,FALSE)&amp;" | p. "&amp;VLOOKUP("Disease Area|"&amp;$B$21&amp;"|"&amp;$B$5,AllBenchmarks!$A:$I,8,FALSE)&amp;" | "&amp;VLOOKUP("Disease Area|"&amp;$B$21&amp;"|"&amp;$B$5,AllBenchmarks!$A:$I,9,FALSE),"")</x:f>
        <x:v>Figure 2 transition POS; Figure 5b LOA | p. 7, 11 | Disease-area benchmark from 14 major disease groupings plus All indications.</x:v>
      </x:c>
    </x:row>
    <x:row r="22">
      <x:c r="A22" s="10"/>
      <x:c r="B22" s="10"/>
      <x:c r="C22" s="10"/>
      <x:c r="D22" s="10"/>
      <x:c r="E22" s="10"/>
      <x:c r="F22" s="10"/>
    </x:row>
    <x:row r="23">
      <x:c r="A23" s="41" t="str">
        <x:v>Decision-ready outputs</x:v>
      </x:c>
      <x:c r="B23" s="41" t="str"/>
      <x:c r="C23" s="41" t="str"/>
      <x:c r="D23" s="10"/>
      <x:c r="E23" s="10"/>
      <x:c r="F23" s="10"/>
    </x:row>
    <x:row r="24">
      <x:c r="A24" s="10" t="str">
        <x:v>Primary source-only PoS</x:v>
      </x:c>
      <x:c r="B24" s="10" t="str">
        <x:v>Disease-area LOA for selected phase</x:v>
      </x:c>
      <x:c r="C24" s="50" t="n">
        <x:f>C15</x:f>
        <x:v>0.193</x:v>
      </x:c>
      <x:c r="D24" s="10"/>
      <x:c r="E24" s="10"/>
      <x:c r="F24" s="10"/>
    </x:row>
    <x:row r="25">
      <x:c r="A25" s="10" t="str">
        <x:v>Optional N-weighted composite</x:v>
      </x:c>
      <x:c r="B25" s="10" t="str">
        <x:v>Selected benchmarks weighted by source n</x:v>
      </x:c>
      <x:c r="C25" s="50" t="n">
        <x:f>IFERROR(SUMPRODUCT($C$15:$C$21,$D$15:$D$21)/SUM($D$15:$D$21),"")</x:f>
        <x:v>0.14179533946752326</x:v>
      </x:c>
      <x:c r="D25" s="10"/>
      <x:c r="E25" s="10"/>
      <x:c r="F25" s="10"/>
    </x:row>
    <x:row r="26">
      <x:c r="A26" s="10" t="str">
        <x:v>Spread vs all indications</x:v>
      </x:c>
      <x:c r="B26" s="10" t="str">
        <x:v>Primary PoS minus All indications fallback</x:v>
      </x:c>
      <x:c r="C26" s="50" t="n">
        <x:f>C24-C21</x:f>
        <x:v>0.04200000000000001</x:v>
      </x:c>
      <x:c r="D26" s="10"/>
      <x:c r="E26" s="10"/>
      <x:c r="F26" s="10"/>
    </x:row>
    <x:row r="27">
      <x:c r="A27" s="10" t="str">
        <x:v>Selected phase</x:v>
      </x:c>
      <x:c r="B27" s="10" t="str">
        <x:v>Current phase</x:v>
      </x:c>
      <x:c r="C27" s="10" t="str">
        <x:f>$B$5</x:f>
        <x:v>Phase II</x:v>
      </x:c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 ht="54" customHeight="1">
      <x:c r="A29" s="30" t="str">
        <x:v>Caution</x:v>
      </x:c>
      <x:c r="B29" s="30" t="str">
        <x:v>The N-weighted composite is a mechanical, source-only average of selected benchmarks. It is not an official model from BIO/QLS/Informa and should not be treated as a cross-tab disease × modality estimate.</x:v>
      </x:c>
      <x:c r="C29" s="10"/>
      <x:c r="D29" s="10"/>
      <x:c r="E29" s="10"/>
      <x:c r="F29" s="10"/>
    </x:row>
  </x:sheetData>
  <x:mergeCells>
    <x:mergeCell ref="A1:F1"/>
    <x:mergeCell ref="A2:F2"/>
  </x:mergeCells>
  <x:conditionalFormatting sqref="C15:C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C24:C25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7">
    <x:dataValidation type="list" sqref="B5">
      <x:formula1>Lists!$A$2:$A$5</x:formula1>
    </x:dataValidation>
    <x:dataValidation type="list" sqref="B6">
      <x:formula1>Lists!$B$2:$B$17</x:formula1>
    </x:dataValidation>
    <x:dataValidation type="list" sqref="B7">
      <x:formula1>Lists!$C$2:$C$11</x:formula1>
    </x:dataValidation>
    <x:dataValidation type="list" sqref="B8">
      <x:formula1>Lists!$D$2:$D$8</x:formula1>
    </x:dataValidation>
    <x:dataValidation type="list" sqref="B9">
      <x:formula1>Lists!$E$2:$E$6</x:formula1>
    </x:dataValidation>
    <x:dataValidation type="list" sqref="B10">
      <x:formula1>Lists!$F$2:$F$5</x:formula1>
    </x:dataValidation>
    <x:dataValidation type="list" sqref="B11">
      <x:formula1>Lists!$G$2:$G$4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35" hidden="0" customWidth="1"/>
    <x:col min="8" max="8" width="35" hidden="0" customWidth="1"/>
    <x:col min="9" max="9" width="35" hidden="0" customWidth="1"/>
  </x:cols>
  <x:sheetData>
    <x:row r="1">
      <x:c r="A1" s="41" t="str">
        <x:v>Key</x:v>
      </x:c>
      <x:c r="B1" s="41" t="str">
        <x:v>Benchmark Group</x:v>
      </x:c>
      <x:c r="C1" s="41" t="str">
        <x:v>Benchmark Name</x:v>
      </x:c>
      <x:c r="D1" s="41" t="str">
        <x:v>Current Phase</x:v>
      </x:c>
      <x:c r="E1" s="41" t="str">
        <x:v>Phase LOA</x:v>
      </x:c>
      <x:c r="F1" s="41" t="str">
        <x:v>LOA n</x:v>
      </x:c>
      <x:c r="G1" s="41" t="str">
        <x:v>Source Figure</x:v>
      </x:c>
      <x:c r="H1" s="41" t="str">
        <x:v>Source Page(s)</x:v>
      </x:c>
      <x:c r="I1" s="41" t="str">
        <x:v>Notes</x:v>
      </x:c>
    </x:row>
    <x:row r="2">
      <x:c r="A2" s="10" t="str">
        <x:v>Disease Area|Hematology|Phase I</x:v>
      </x:c>
      <x:c r="B2" s="10" t="str">
        <x:v>Disease Area</x:v>
      </x:c>
      <x:c r="C2" s="10" t="str">
        <x:v>Hematology</x:v>
      </x:c>
      <x:c r="D2" s="10" t="str">
        <x:v>Phase I</x:v>
      </x:c>
      <x:c r="E2" s="56" t="n">
        <x:v>0.239</x:v>
      </x:c>
      <x:c r="F2" s="58" t="n">
        <x:v>352</x:v>
      </x:c>
      <x:c r="G2" s="10" t="str">
        <x:v>Figure 2 transition POS; Figure 5b LOA</x:v>
      </x:c>
      <x:c r="H2" s="10" t="str">
        <x:v>7, 11</x:v>
      </x:c>
      <x:c r="I2" s="10" t="str">
        <x:v>Disease-area benchmark from 14 major disease groupings plus All indications.</x:v>
      </x:c>
    </x:row>
    <x:row r="3">
      <x:c r="A3" s="10" t="str">
        <x:v>Disease Area|Hematology|Phase II</x:v>
      </x:c>
      <x:c r="B3" s="10" t="str">
        <x:v>Disease Area</x:v>
      </x:c>
      <x:c r="C3" s="10" t="str">
        <x:v>Hematology</x:v>
      </x:c>
      <x:c r="D3" s="10" t="str">
        <x:v>Phase II</x:v>
      </x:c>
      <x:c r="E3" s="56" t="n">
        <x:v>0.344</x:v>
      </x:c>
      <x:c r="F3" s="58" t="n">
        <x:v>260</x:v>
      </x:c>
      <x:c r="G3" s="10" t="str">
        <x:v>Figure 2 transition POS; Figure 5b LOA</x:v>
      </x:c>
      <x:c r="H3" s="10" t="str">
        <x:v>7, 11</x:v>
      </x:c>
      <x:c r="I3" s="10" t="str">
        <x:v>Disease-area benchmark from 14 major disease groupings plus All indications.</x:v>
      </x:c>
    </x:row>
    <x:row r="4">
      <x:c r="A4" s="10" t="str">
        <x:v>Disease Area|Hematology|Phase III</x:v>
      </x:c>
      <x:c r="B4" s="10" t="str">
        <x:v>Disease Area</x:v>
      </x:c>
      <x:c r="C4" s="10" t="str">
        <x:v>Hematology</x:v>
      </x:c>
      <x:c r="D4" s="10" t="str">
        <x:v>Phase III</x:v>
      </x:c>
      <x:c r="E4" s="56" t="n">
        <x:v>0.715</x:v>
      </x:c>
      <x:c r="F4" s="58" t="n">
        <x:v>154</x:v>
      </x:c>
      <x:c r="G4" s="10" t="str">
        <x:v>Figure 2 transition POS; Figure 5b LOA</x:v>
      </x:c>
      <x:c r="H4" s="10" t="str">
        <x:v>7, 11</x:v>
      </x:c>
      <x:c r="I4" s="10" t="str">
        <x:v>Disease-area benchmark from 14 major disease groupings plus All indications.</x:v>
      </x:c>
    </x:row>
    <x:row r="5">
      <x:c r="A5" s="10" t="str">
        <x:v>Disease Area|Hematology|NDA/BLA</x:v>
      </x:c>
      <x:c r="B5" s="10" t="str">
        <x:v>Disease Area</x:v>
      </x:c>
      <x:c r="C5" s="10" t="str">
        <x:v>Hematology</x:v>
      </x:c>
      <x:c r="D5" s="10" t="str">
        <x:v>NDA/BLA</x:v>
      </x:c>
      <x:c r="E5" s="56" t="n">
        <x:v>0.931</x:v>
      </x:c>
      <x:c r="F5" s="58" t="n">
        <x:v>72</x:v>
      </x:c>
      <x:c r="G5" s="10" t="str">
        <x:v>Figure 2 transition POS; Figure 5b LOA</x:v>
      </x:c>
      <x:c r="H5" s="10" t="str">
        <x:v>7, 11</x:v>
      </x:c>
      <x:c r="I5" s="10" t="str">
        <x:v>Disease-area benchmark from 14 major disease groupings plus All indications.</x:v>
      </x:c>
    </x:row>
    <x:row r="6">
      <x:c r="A6" s="10" t="str">
        <x:v>Disease Area|Metabolic|Phase I</x:v>
      </x:c>
      <x:c r="B6" s="10" t="str">
        <x:v>Disease Area</x:v>
      </x:c>
      <x:c r="C6" s="10" t="str">
        <x:v>Metabolic</x:v>
      </x:c>
      <x:c r="D6" s="10" t="str">
        <x:v>Phase I</x:v>
      </x:c>
      <x:c r="E6" s="56" t="n">
        <x:v>0.155</x:v>
      </x:c>
      <x:c r="F6" s="58" t="n">
        <x:v>399</x:v>
      </x:c>
      <x:c r="G6" s="10" t="str">
        <x:v>Figure 2 transition POS; Figure 5b LOA</x:v>
      </x:c>
      <x:c r="H6" s="10" t="str">
        <x:v>7, 11</x:v>
      </x:c>
      <x:c r="I6" s="10" t="str">
        <x:v>Disease-area benchmark from 14 major disease groupings plus All indications.</x:v>
      </x:c>
    </x:row>
    <x:row r="7">
      <x:c r="A7" s="10" t="str">
        <x:v>Disease Area|Metabolic|Phase II</x:v>
      </x:c>
      <x:c r="B7" s="10" t="str">
        <x:v>Disease Area</x:v>
      </x:c>
      <x:c r="C7" s="10" t="str">
        <x:v>Metabolic</x:v>
      </x:c>
      <x:c r="D7" s="10" t="str">
        <x:v>Phase II</x:v>
      </x:c>
      <x:c r="E7" s="56" t="n">
        <x:v>0.25</x:v>
      </x:c>
      <x:c r="F7" s="58" t="n">
        <x:v>263</x:v>
      </x:c>
      <x:c r="G7" s="10" t="str">
        <x:v>Figure 2 transition POS; Figure 5b LOA</x:v>
      </x:c>
      <x:c r="H7" s="10" t="str">
        <x:v>7, 11</x:v>
      </x:c>
      <x:c r="I7" s="10" t="str">
        <x:v>Disease-area benchmark from 14 major disease groupings plus All indications.</x:v>
      </x:c>
    </x:row>
    <x:row r="8">
      <x:c r="A8" s="10" t="str">
        <x:v>Disease Area|Metabolic|Phase III</x:v>
      </x:c>
      <x:c r="B8" s="10" t="str">
        <x:v>Disease Area</x:v>
      </x:c>
      <x:c r="C8" s="10" t="str">
        <x:v>Metabolic</x:v>
      </x:c>
      <x:c r="D8" s="10" t="str">
        <x:v>Phase III</x:v>
      </x:c>
      <x:c r="E8" s="56" t="n">
        <x:v>0.557</x:v>
      </x:c>
      <x:c r="F8" s="58" t="n">
        <x:v>114</x:v>
      </x:c>
      <x:c r="G8" s="10" t="str">
        <x:v>Figure 2 transition POS; Figure 5b LOA</x:v>
      </x:c>
      <x:c r="H8" s="10" t="str">
        <x:v>7, 11</x:v>
      </x:c>
      <x:c r="I8" s="10" t="str">
        <x:v>Disease-area benchmark from 14 major disease groupings plus All indications.</x:v>
      </x:c>
    </x:row>
    <x:row r="9">
      <x:c r="A9" s="10" t="str">
        <x:v>Disease Area|Metabolic|NDA/BLA</x:v>
      </x:c>
      <x:c r="B9" s="10" t="str">
        <x:v>Disease Area</x:v>
      </x:c>
      <x:c r="C9" s="10" t="str">
        <x:v>Metabolic</x:v>
      </x:c>
      <x:c r="D9" s="10" t="str">
        <x:v>NDA/BLA</x:v>
      </x:c>
      <x:c r="E9" s="56" t="n">
        <x:v>0.875</x:v>
      </x:c>
      <x:c r="F9" s="58" t="n">
        <x:v>48</x:v>
      </x:c>
      <x:c r="G9" s="10" t="str">
        <x:v>Figure 2 transition POS; Figure 5b LOA</x:v>
      </x:c>
      <x:c r="H9" s="10" t="str">
        <x:v>7, 11</x:v>
      </x:c>
      <x:c r="I9" s="10" t="str">
        <x:v>Disease-area benchmark from 14 major disease groupings plus All indications.</x:v>
      </x:c>
    </x:row>
    <x:row r="10">
      <x:c r="A10" s="10" t="str">
        <x:v>Disease Area|Infectious disease|Phase I</x:v>
      </x:c>
      <x:c r="B10" s="10" t="str">
        <x:v>Disease Area</x:v>
      </x:c>
      <x:c r="C10" s="10" t="str">
        <x:v>Infectious disease</x:v>
      </x:c>
      <x:c r="D10" s="10" t="str">
        <x:v>Phase I</x:v>
      </x:c>
      <x:c r="E10" s="56" t="n">
        <x:v>0.132</x:v>
      </x:c>
      <x:c r="F10" s="58" t="n">
        <x:v>1170</x:v>
      </x:c>
      <x:c r="G10" s="10" t="str">
        <x:v>Figure 2 transition POS; Figure 5b LOA</x:v>
      </x:c>
      <x:c r="H10" s="10" t="str">
        <x:v>7, 11</x:v>
      </x:c>
      <x:c r="I10" s="10" t="str">
        <x:v>Disease-area benchmark from 14 major disease groupings plus All indications.</x:v>
      </x:c>
    </x:row>
    <x:row r="11">
      <x:c r="A11" s="10" t="str">
        <x:v>Disease Area|Infectious disease|Phase II</x:v>
      </x:c>
      <x:c r="B11" s="10" t="str">
        <x:v>Disease Area</x:v>
      </x:c>
      <x:c r="C11" s="10" t="str">
        <x:v>Infectious disease</x:v>
      </x:c>
      <x:c r="D11" s="10" t="str">
        <x:v>Phase II</x:v>
      </x:c>
      <x:c r="E11" s="56" t="n">
        <x:v>0.228</x:v>
      </x:c>
      <x:c r="F11" s="58" t="n">
        <x:v>767</x:v>
      </x:c>
      <x:c r="G11" s="10" t="str">
        <x:v>Figure 2 transition POS; Figure 5b LOA</x:v>
      </x:c>
      <x:c r="H11" s="10" t="str">
        <x:v>7, 11</x:v>
      </x:c>
      <x:c r="I11" s="10" t="str">
        <x:v>Disease-area benchmark from 14 major disease groupings plus All indications.</x:v>
      </x:c>
    </x:row>
    <x:row r="12">
      <x:c r="A12" s="10" t="str">
        <x:v>Disease Area|Infectious disease|Phase III</x:v>
      </x:c>
      <x:c r="B12" s="10" t="str">
        <x:v>Disease Area</x:v>
      </x:c>
      <x:c r="C12" s="10" t="str">
        <x:v>Infectious disease</x:v>
      </x:c>
      <x:c r="D12" s="10" t="str">
        <x:v>Phase III</x:v>
      </x:c>
      <x:c r="E12" s="56" t="n">
        <x:v>0.594</x:v>
      </x:c>
      <x:c r="F12" s="58" t="n">
        <x:v>353</x:v>
      </x:c>
      <x:c r="G12" s="10" t="str">
        <x:v>Figure 2 transition POS; Figure 5b LOA</x:v>
      </x:c>
      <x:c r="H12" s="10" t="str">
        <x:v>7, 11</x:v>
      </x:c>
      <x:c r="I12" s="10" t="str">
        <x:v>Disease-area benchmark from 14 major disease groupings plus All indications.</x:v>
      </x:c>
    </x:row>
    <x:row r="13">
      <x:c r="A13" s="10" t="str">
        <x:v>Disease Area|Infectious disease|NDA/BLA</x:v>
      </x:c>
      <x:c r="B13" s="10" t="str">
        <x:v>Disease Area</x:v>
      </x:c>
      <x:c r="C13" s="10" t="str">
        <x:v>Infectious disease</x:v>
      </x:c>
      <x:c r="D13" s="10" t="str">
        <x:v>NDA/BLA</x:v>
      </x:c>
      <x:c r="E13" s="56" t="n">
        <x:v>0.929</x:v>
      </x:c>
      <x:c r="F13" s="58" t="n">
        <x:v>156</x:v>
      </x:c>
      <x:c r="G13" s="10" t="str">
        <x:v>Figure 2 transition POS; Figure 5b LOA</x:v>
      </x:c>
      <x:c r="H13" s="10" t="str">
        <x:v>7, 11</x:v>
      </x:c>
      <x:c r="I13" s="10" t="str">
        <x:v>Disease-area benchmark from 14 major disease groupings plus All indications.</x:v>
      </x:c>
    </x:row>
    <x:row r="14">
      <x:c r="A14" s="10" t="str">
        <x:v>Disease Area|Others|Phase I</x:v>
      </x:c>
      <x:c r="B14" s="10" t="str">
        <x:v>Disease Area</x:v>
      </x:c>
      <x:c r="C14" s="10" t="str">
        <x:v>Others</x:v>
      </x:c>
      <x:c r="D14" s="10" t="str">
        <x:v>Phase I</x:v>
      </x:c>
      <x:c r="E14" s="56" t="n">
        <x:v>0.13</x:v>
      </x:c>
      <x:c r="F14" s="58" t="n">
        <x:v>541</x:v>
      </x:c>
      <x:c r="G14" s="10" t="str">
        <x:v>Figure 2 transition POS; Figure 5b LOA</x:v>
      </x:c>
      <x:c r="H14" s="10" t="str">
        <x:v>7, 11</x:v>
      </x:c>
      <x:c r="I14" s="10" t="str">
        <x:v>Disease-area benchmark from 14 major disease groupings plus All indications.</x:v>
      </x:c>
    </x:row>
    <x:row r="15">
      <x:c r="A15" s="10" t="str">
        <x:v>Disease Area|Others|Phase II</x:v>
      </x:c>
      <x:c r="B15" s="10" t="str">
        <x:v>Disease Area</x:v>
      </x:c>
      <x:c r="C15" s="10" t="str">
        <x:v>Others</x:v>
      </x:c>
      <x:c r="D15" s="10" t="str">
        <x:v>Phase II</x:v>
      </x:c>
      <x:c r="E15" s="56" t="n">
        <x:v>0.205</x:v>
      </x:c>
      <x:c r="F15" s="58" t="n">
        <x:v>387</x:v>
      </x:c>
      <x:c r="G15" s="10" t="str">
        <x:v>Figure 2 transition POS; Figure 5b LOA</x:v>
      </x:c>
      <x:c r="H15" s="10" t="str">
        <x:v>7, 11</x:v>
      </x:c>
      <x:c r="I15" s="10" t="str">
        <x:v>Disease-area benchmark from 14 major disease groupings plus All indications.</x:v>
      </x:c>
    </x:row>
    <x:row r="16">
      <x:c r="A16" s="10" t="str">
        <x:v>Disease Area|Others|Phase III</x:v>
      </x:c>
      <x:c r="B16" s="10" t="str">
        <x:v>Disease Area</x:v>
      </x:c>
      <x:c r="C16" s="10" t="str">
        <x:v>Others</x:v>
      </x:c>
      <x:c r="D16" s="10" t="str">
        <x:v>Phase III</x:v>
      </x:c>
      <x:c r="E16" s="56" t="n">
        <x:v>0.53</x:v>
      </x:c>
      <x:c r="F16" s="58" t="n">
        <x:v>159</x:v>
      </x:c>
      <x:c r="G16" s="10" t="str">
        <x:v>Figure 2 transition POS; Figure 5b LOA</x:v>
      </x:c>
      <x:c r="H16" s="10" t="str">
        <x:v>7, 11</x:v>
      </x:c>
      <x:c r="I16" s="10" t="str">
        <x:v>Disease-area benchmark from 14 major disease groupings plus All indications.</x:v>
      </x:c>
    </x:row>
    <x:row r="17">
      <x:c r="A17" s="10" t="str">
        <x:v>Disease Area|Others|NDA/BLA</x:v>
      </x:c>
      <x:c r="B17" s="10" t="str">
        <x:v>Disease Area</x:v>
      </x:c>
      <x:c r="C17" s="10" t="str">
        <x:v>Others</x:v>
      </x:c>
      <x:c r="D17" s="10" t="str">
        <x:v>NDA/BLA</x:v>
      </x:c>
      <x:c r="E17" s="56" t="n">
        <x:v>0.884</x:v>
      </x:c>
      <x:c r="F17" s="58" t="n">
        <x:v>69</x:v>
      </x:c>
      <x:c r="G17" s="10" t="str">
        <x:v>Figure 2 transition POS; Figure 5b LOA</x:v>
      </x:c>
      <x:c r="H17" s="10" t="str">
        <x:v>7, 11</x:v>
      </x:c>
      <x:c r="I17" s="10" t="str">
        <x:v>Disease-area benchmark from 14 major disease groupings plus All indications.</x:v>
      </x:c>
    </x:row>
    <x:row r="18">
      <x:c r="A18" s="10" t="str">
        <x:v>Disease Area|Ophthalmology|Phase I</x:v>
      </x:c>
      <x:c r="B18" s="10" t="str">
        <x:v>Disease Area</x:v>
      </x:c>
      <x:c r="C18" s="10" t="str">
        <x:v>Ophthalmology</x:v>
      </x:c>
      <x:c r="D18" s="10" t="str">
        <x:v>Phase I</x:v>
      </x:c>
      <x:c r="E18" s="56" t="n">
        <x:v>0.119</x:v>
      </x:c>
      <x:c r="F18" s="58" t="n">
        <x:v>415</x:v>
      </x:c>
      <x:c r="G18" s="10" t="str">
        <x:v>Figure 2 transition POS; Figure 5b LOA</x:v>
      </x:c>
      <x:c r="H18" s="10" t="str">
        <x:v>7, 11</x:v>
      </x:c>
      <x:c r="I18" s="10" t="str">
        <x:v>Disease-area benchmark from 14 major disease groupings plus All indications.</x:v>
      </x:c>
    </x:row>
    <x:row r="19">
      <x:c r="A19" s="10" t="str">
        <x:v>Disease Area|Ophthalmology|Phase II</x:v>
      </x:c>
      <x:c r="B19" s="10" t="str">
        <x:v>Disease Area</x:v>
      </x:c>
      <x:c r="C19" s="10" t="str">
        <x:v>Ophthalmology</x:v>
      </x:c>
      <x:c r="D19" s="10" t="str">
        <x:v>Phase II</x:v>
      </x:c>
      <x:c r="E19" s="56" t="n">
        <x:v>0.166</x:v>
      </x:c>
      <x:c r="F19" s="58" t="n">
        <x:v>327</x:v>
      </x:c>
      <x:c r="G19" s="10" t="str">
        <x:v>Figure 2 transition POS; Figure 5b LOA</x:v>
      </x:c>
      <x:c r="H19" s="10" t="str">
        <x:v>7, 11</x:v>
      </x:c>
      <x:c r="I19" s="10" t="str">
        <x:v>Disease-area benchmark from 14 major disease groupings plus All indications.</x:v>
      </x:c>
    </x:row>
    <x:row r="20">
      <x:c r="A20" s="10" t="str">
        <x:v>Disease Area|Ophthalmology|Phase III</x:v>
      </x:c>
      <x:c r="B20" s="10" t="str">
        <x:v>Disease Area</x:v>
      </x:c>
      <x:c r="C20" s="10" t="str">
        <x:v>Ophthalmology</x:v>
      </x:c>
      <x:c r="D20" s="10" t="str">
        <x:v>Phase III</x:v>
      </x:c>
      <x:c r="E20" s="56" t="n">
        <x:v>0.467</x:v>
      </x:c>
      <x:c r="F20" s="58" t="n">
        <x:v>127</x:v>
      </x:c>
      <x:c r="G20" s="10" t="str">
        <x:v>Figure 2 transition POS; Figure 5b LOA</x:v>
      </x:c>
      <x:c r="H20" s="10" t="str">
        <x:v>7, 11</x:v>
      </x:c>
      <x:c r="I20" s="10" t="str">
        <x:v>Disease-area benchmark from 14 major disease groupings plus All indications.</x:v>
      </x:c>
    </x:row>
    <x:row r="21">
      <x:c r="A21" s="10" t="str">
        <x:v>Disease Area|Ophthalmology|NDA/BLA</x:v>
      </x:c>
      <x:c r="B21" s="10" t="str">
        <x:v>Disease Area</x:v>
      </x:c>
      <x:c r="C21" s="10" t="str">
        <x:v>Ophthalmology</x:v>
      </x:c>
      <x:c r="D21" s="10" t="str">
        <x:v>NDA/BLA</x:v>
      </x:c>
      <x:c r="E21" s="56" t="n">
        <x:v>0.911</x:v>
      </x:c>
      <x:c r="F21" s="58" t="n">
        <x:v>45</x:v>
      </x:c>
      <x:c r="G21" s="10" t="str">
        <x:v>Figure 2 transition POS; Figure 5b LOA</x:v>
      </x:c>
      <x:c r="H21" s="10" t="str">
        <x:v>7, 11</x:v>
      </x:c>
      <x:c r="I21" s="10" t="str">
        <x:v>Disease-area benchmark from 14 major disease groupings plus All indications.</x:v>
      </x:c>
    </x:row>
    <x:row r="22">
      <x:c r="A22" s="10" t="str">
        <x:v>Disease Area|Autoimmune|Phase I</x:v>
      </x:c>
      <x:c r="B22" s="10" t="str">
        <x:v>Disease Area</x:v>
      </x:c>
      <x:c r="C22" s="10" t="str">
        <x:v>Autoimmune</x:v>
      </x:c>
      <x:c r="D22" s="10" t="str">
        <x:v>Phase I</x:v>
      </x:c>
      <x:c r="E22" s="56" t="n">
        <x:v>0.107</x:v>
      </x:c>
      <x:c r="F22" s="58" t="n">
        <x:v>1305</x:v>
      </x:c>
      <x:c r="G22" s="10" t="str">
        <x:v>Figure 2 transition POS; Figure 5b LOA</x:v>
      </x:c>
      <x:c r="H22" s="10" t="str">
        <x:v>7, 11</x:v>
      </x:c>
      <x:c r="I22" s="10" t="str">
        <x:v>Disease-area benchmark from 14 major disease groupings plus All indications.</x:v>
      </x:c>
    </x:row>
    <x:row r="23">
      <x:c r="A23" s="10" t="str">
        <x:v>Disease Area|Autoimmune|Phase II</x:v>
      </x:c>
      <x:c r="B23" s="10" t="str">
        <x:v>Disease Area</x:v>
      </x:c>
      <x:c r="C23" s="10" t="str">
        <x:v>Autoimmune</x:v>
      </x:c>
      <x:c r="D23" s="10" t="str">
        <x:v>Phase II</x:v>
      </x:c>
      <x:c r="E23" s="56" t="n">
        <x:v>0.193</x:v>
      </x:c>
      <x:c r="F23" s="58" t="n">
        <x:v>892</x:v>
      </x:c>
      <x:c r="G23" s="10" t="str">
        <x:v>Figure 2 transition POS; Figure 5b LOA</x:v>
      </x:c>
      <x:c r="H23" s="10" t="str">
        <x:v>7, 11</x:v>
      </x:c>
      <x:c r="I23" s="10" t="str">
        <x:v>Disease-area benchmark from 14 major disease groupings plus All indications.</x:v>
      </x:c>
    </x:row>
    <x:row r="24">
      <x:c r="A24" s="10" t="str">
        <x:v>Disease Area|Autoimmune|Phase III</x:v>
      </x:c>
      <x:c r="B24" s="10" t="str">
        <x:v>Disease Area</x:v>
      </x:c>
      <x:c r="C24" s="10" t="str">
        <x:v>Autoimmune</x:v>
      </x:c>
      <x:c r="D24" s="10" t="str">
        <x:v>Phase III</x:v>
      </x:c>
      <x:c r="E24" s="56" t="n">
        <x:v>0.614</x:v>
      </x:c>
      <x:c r="F24" s="58" t="n">
        <x:v>421</x:v>
      </x:c>
      <x:c r="G24" s="10" t="str">
        <x:v>Figure 2 transition POS; Figure 5b LOA</x:v>
      </x:c>
      <x:c r="H24" s="10" t="str">
        <x:v>7, 11</x:v>
      </x:c>
      <x:c r="I24" s="10" t="str">
        <x:v>Disease-area benchmark from 14 major disease groupings plus All indications.</x:v>
      </x:c>
    </x:row>
    <x:row r="25">
      <x:c r="A25" s="10" t="str">
        <x:v>Disease Area|Autoimmune|NDA/BLA</x:v>
      </x:c>
      <x:c r="B25" s="10" t="str">
        <x:v>Disease Area</x:v>
      </x:c>
      <x:c r="C25" s="10" t="str">
        <x:v>Autoimmune</x:v>
      </x:c>
      <x:c r="D25" s="10" t="str">
        <x:v>NDA/BLA</x:v>
      </x:c>
      <x:c r="E25" s="56" t="n">
        <x:v>0.941</x:v>
      </x:c>
      <x:c r="F25" s="58" t="n">
        <x:v>202</x:v>
      </x:c>
      <x:c r="G25" s="10" t="str">
        <x:v>Figure 2 transition POS; Figure 5b LOA</x:v>
      </x:c>
      <x:c r="H25" s="10" t="str">
        <x:v>7, 11</x:v>
      </x:c>
      <x:c r="I25" s="10" t="str">
        <x:v>Disease-area benchmark from 14 major disease groupings plus All indications.</x:v>
      </x:c>
    </x:row>
    <x:row r="26">
      <x:c r="A26" s="10" t="str">
        <x:v>Disease Area|Allergy|Phase I</x:v>
      </x:c>
      <x:c r="B26" s="10" t="str">
        <x:v>Disease Area</x:v>
      </x:c>
      <x:c r="C26" s="10" t="str">
        <x:v>Allergy</x:v>
      </x:c>
      <x:c r="D26" s="10" t="str">
        <x:v>Phase I</x:v>
      </x:c>
      <x:c r="E26" s="56" t="n">
        <x:v>0.103</x:v>
      </x:c>
      <x:c r="F26" s="58" t="n">
        <x:v>201</x:v>
      </x:c>
      <x:c r="G26" s="10" t="str">
        <x:v>Figure 2 transition POS; Figure 5b LOA</x:v>
      </x:c>
      <x:c r="H26" s="10" t="str">
        <x:v>7, 11</x:v>
      </x:c>
      <x:c r="I26" s="10" t="str">
        <x:v>Disease-area benchmark from 14 major disease groupings plus All indications.</x:v>
      </x:c>
    </x:row>
    <x:row r="27">
      <x:c r="A27" s="10" t="str">
        <x:v>Disease Area|Allergy|Phase II</x:v>
      </x:c>
      <x:c r="B27" s="10" t="str">
        <x:v>Disease Area</x:v>
      </x:c>
      <x:c r="C27" s="10" t="str">
        <x:v>Allergy</x:v>
      </x:c>
      <x:c r="D27" s="10" t="str">
        <x:v>Phase II</x:v>
      </x:c>
      <x:c r="E27" s="56" t="n">
        <x:v>0.183</x:v>
      </x:c>
      <x:c r="F27" s="58" t="n">
        <x:v>146</x:v>
      </x:c>
      <x:c r="G27" s="10" t="str">
        <x:v>Figure 2 transition POS; Figure 5b LOA</x:v>
      </x:c>
      <x:c r="H27" s="10" t="str">
        <x:v>7, 11</x:v>
      </x:c>
      <x:c r="I27" s="10" t="str">
        <x:v>Disease-area benchmark from 14 major disease groupings plus All indications.</x:v>
      </x:c>
    </x:row>
    <x:row r="28">
      <x:c r="A28" s="10" t="str">
        <x:v>Disease Area|Allergy|Phase III</x:v>
      </x:c>
      <x:c r="B28" s="10" t="str">
        <x:v>Disease Area</x:v>
      </x:c>
      <x:c r="C28" s="10" t="str">
        <x:v>Allergy</x:v>
      </x:c>
      <x:c r="D28" s="10" t="str">
        <x:v>Phase III</x:v>
      </x:c>
      <x:c r="E28" s="56" t="n">
        <x:v>0.647</x:v>
      </x:c>
      <x:c r="F28" s="58" t="n">
        <x:v>54</x:v>
      </x:c>
      <x:c r="G28" s="10" t="str">
        <x:v>Figure 2 transition POS; Figure 5b LOA</x:v>
      </x:c>
      <x:c r="H28" s="10" t="str">
        <x:v>7, 11</x:v>
      </x:c>
      <x:c r="I28" s="10" t="str">
        <x:v>Disease-area benchmark from 14 major disease groupings plus All indications.</x:v>
      </x:c>
    </x:row>
    <x:row r="29">
      <x:c r="A29" s="10" t="str">
        <x:v>Disease Area|Allergy|NDA/BLA</x:v>
      </x:c>
      <x:c r="B29" s="10" t="str">
        <x:v>Disease Area</x:v>
      </x:c>
      <x:c r="C29" s="10" t="str">
        <x:v>Allergy</x:v>
      </x:c>
      <x:c r="D29" s="10" t="str">
        <x:v>NDA/BLA</x:v>
      </x:c>
      <x:c r="E29" s="56" t="n">
        <x:v>1</x:v>
      </x:c>
      <x:c r="F29" s="58" t="n">
        <x:v>20</x:v>
      </x:c>
      <x:c r="G29" s="10" t="str">
        <x:v>Figure 2 transition POS; Figure 5b LOA</x:v>
      </x:c>
      <x:c r="H29" s="10" t="str">
        <x:v>7, 11</x:v>
      </x:c>
      <x:c r="I29" s="10" t="str">
        <x:v>Disease-area benchmark from 14 major disease groupings plus All indications.</x:v>
      </x:c>
    </x:row>
    <x:row r="30">
      <x:c r="A30" s="10" t="str">
        <x:v>Disease Area|Gastroenterology|Phase I</x:v>
      </x:c>
      <x:c r="B30" s="10" t="str">
        <x:v>Disease Area</x:v>
      </x:c>
      <x:c r="C30" s="10" t="str">
        <x:v>Gastroenterology</x:v>
      </x:c>
      <x:c r="D30" s="10" t="str">
        <x:v>Phase I</x:v>
      </x:c>
      <x:c r="E30" s="56" t="n">
        <x:v>0.083</x:v>
      </x:c>
      <x:c r="F30" s="58" t="n">
        <x:v>186</x:v>
      </x:c>
      <x:c r="G30" s="10" t="str">
        <x:v>Figure 2 transition POS; Figure 5b LOA</x:v>
      </x:c>
      <x:c r="H30" s="10" t="str">
        <x:v>7, 11</x:v>
      </x:c>
      <x:c r="I30" s="10" t="str">
        <x:v>Disease-area benchmark from 14 major disease groupings plus All indications.</x:v>
      </x:c>
    </x:row>
    <x:row r="31">
      <x:c r="A31" s="10" t="str">
        <x:v>Disease Area|Gastroenterology|Phase II</x:v>
      </x:c>
      <x:c r="B31" s="10" t="str">
        <x:v>Disease Area</x:v>
      </x:c>
      <x:c r="C31" s="10" t="str">
        <x:v>Gastroenterology</x:v>
      </x:c>
      <x:c r="D31" s="10" t="str">
        <x:v>Phase II</x:v>
      </x:c>
      <x:c r="E31" s="56" t="n">
        <x:v>0.178</x:v>
      </x:c>
      <x:c r="F31" s="58" t="n">
        <x:v>141</x:v>
      </x:c>
      <x:c r="G31" s="10" t="str">
        <x:v>Figure 2 transition POS; Figure 5b LOA</x:v>
      </x:c>
      <x:c r="H31" s="10" t="str">
        <x:v>7, 11</x:v>
      </x:c>
      <x:c r="I31" s="10" t="str">
        <x:v>Disease-area benchmark from 14 major disease groupings plus All indications.</x:v>
      </x:c>
    </x:row>
    <x:row r="32">
      <x:c r="A32" s="10" t="str">
        <x:v>Disease Area|Gastroenterology|Phase III</x:v>
      </x:c>
      <x:c r="B32" s="10" t="str">
        <x:v>Disease Area</x:v>
      </x:c>
      <x:c r="C32" s="10" t="str">
        <x:v>Gastroenterology</x:v>
      </x:c>
      <x:c r="D32" s="10" t="str">
        <x:v>Phase III</x:v>
      </x:c>
      <x:c r="E32" s="56" t="n">
        <x:v>0.519</x:v>
      </x:c>
      <x:c r="F32" s="58" t="n">
        <x:v>68</x:v>
      </x:c>
      <x:c r="G32" s="10" t="str">
        <x:v>Figure 2 transition POS; Figure 5b LOA</x:v>
      </x:c>
      <x:c r="H32" s="10" t="str">
        <x:v>7, 11</x:v>
      </x:c>
      <x:c r="I32" s="10" t="str">
        <x:v>Disease-area benchmark from 14 major disease groupings plus All indications.</x:v>
      </x:c>
    </x:row>
    <x:row r="33">
      <x:c r="A33" s="10" t="str">
        <x:v>Disease Area|Gastroenterology|NDA/BLA</x:v>
      </x:c>
      <x:c r="B33" s="10" t="str">
        <x:v>Disease Area</x:v>
      </x:c>
      <x:c r="C33" s="10" t="str">
        <x:v>Gastroenterology</x:v>
      </x:c>
      <x:c r="D33" s="10" t="str">
        <x:v>NDA/BLA</x:v>
      </x:c>
      <x:c r="E33" s="56" t="n">
        <x:v>0.909</x:v>
      </x:c>
      <x:c r="F33" s="58" t="n">
        <x:v>33</x:v>
      </x:c>
      <x:c r="G33" s="10" t="str">
        <x:v>Figure 2 transition POS; Figure 5b LOA</x:v>
      </x:c>
      <x:c r="H33" s="10" t="str">
        <x:v>7, 11</x:v>
      </x:c>
      <x:c r="I33" s="10" t="str">
        <x:v>Disease-area benchmark from 14 major disease groupings plus All indications.</x:v>
      </x:c>
    </x:row>
    <x:row r="34">
      <x:c r="A34" s="10" t="str">
        <x:v>Disease Area|All indications|Phase I</x:v>
      </x:c>
      <x:c r="B34" s="10" t="str">
        <x:v>Disease Area</x:v>
      </x:c>
      <x:c r="C34" s="10" t="str">
        <x:v>All indications</x:v>
      </x:c>
      <x:c r="D34" s="10" t="str">
        <x:v>Phase I</x:v>
      </x:c>
      <x:c r="E34" s="56" t="n">
        <x:v>0.079</x:v>
      </x:c>
      <x:c r="F34" s="58" t="n">
        <x:v>12728</x:v>
      </x:c>
      <x:c r="G34" s="10" t="str">
        <x:v>Figure 2 transition POS; Figure 5b LOA</x:v>
      </x:c>
      <x:c r="H34" s="10" t="str">
        <x:v>7, 11</x:v>
      </x:c>
      <x:c r="I34" s="10" t="str">
        <x:v>Disease-area benchmark from 14 major disease groupings plus All indications.</x:v>
      </x:c>
    </x:row>
    <x:row r="35">
      <x:c r="A35" s="10" t="str">
        <x:v>Disease Area|All indications|Phase II</x:v>
      </x:c>
      <x:c r="B35" s="10" t="str">
        <x:v>Disease Area</x:v>
      </x:c>
      <x:c r="C35" s="10" t="str">
        <x:v>All indications</x:v>
      </x:c>
      <x:c r="D35" s="10" t="str">
        <x:v>Phase II</x:v>
      </x:c>
      <x:c r="E35" s="56" t="n">
        <x:v>0.151</x:v>
      </x:c>
      <x:c r="F35" s="58" t="n">
        <x:v>8314</x:v>
      </x:c>
      <x:c r="G35" s="10" t="str">
        <x:v>Figure 2 transition POS; Figure 5b LOA</x:v>
      </x:c>
      <x:c r="H35" s="10" t="str">
        <x:v>7, 11</x:v>
      </x:c>
      <x:c r="I35" s="10" t="str">
        <x:v>Disease-area benchmark from 14 major disease groupings plus All indications.</x:v>
      </x:c>
    </x:row>
    <x:row r="36">
      <x:c r="A36" s="10" t="str">
        <x:v>Disease Area|All indications|Phase III</x:v>
      </x:c>
      <x:c r="B36" s="10" t="str">
        <x:v>Disease Area</x:v>
      </x:c>
      <x:c r="C36" s="10" t="str">
        <x:v>All indications</x:v>
      </x:c>
      <x:c r="D36" s="10" t="str">
        <x:v>Phase III</x:v>
      </x:c>
      <x:c r="E36" s="56" t="n">
        <x:v>0.524</x:v>
      </x:c>
      <x:c r="F36" s="58" t="n">
        <x:v>3381</x:v>
      </x:c>
      <x:c r="G36" s="10" t="str">
        <x:v>Figure 2 transition POS; Figure 5b LOA</x:v>
      </x:c>
      <x:c r="H36" s="10" t="str">
        <x:v>7, 11</x:v>
      </x:c>
      <x:c r="I36" s="10" t="str">
        <x:v>Disease-area benchmark from 14 major disease groupings plus All indications.</x:v>
      </x:c>
    </x:row>
    <x:row r="37">
      <x:c r="A37" s="10" t="str">
        <x:v>Disease Area|All indications|NDA/BLA</x:v>
      </x:c>
      <x:c r="B37" s="10" t="str">
        <x:v>Disease Area</x:v>
      </x:c>
      <x:c r="C37" s="10" t="str">
        <x:v>All indications</x:v>
      </x:c>
      <x:c r="D37" s="10" t="str">
        <x:v>NDA/BLA</x:v>
      </x:c>
      <x:c r="E37" s="56" t="n">
        <x:v>0.906</x:v>
      </x:c>
      <x:c r="F37" s="58" t="n">
        <x:v>1453</x:v>
      </x:c>
      <x:c r="G37" s="10" t="str">
        <x:v>Figure 2 transition POS; Figure 5b LOA</x:v>
      </x:c>
      <x:c r="H37" s="10" t="str">
        <x:v>7, 11</x:v>
      </x:c>
      <x:c r="I37" s="10" t="str">
        <x:v>Disease-area benchmark from 14 major disease groupings plus All indications.</x:v>
      </x:c>
    </x:row>
    <x:row r="38">
      <x:c r="A38" s="10" t="str">
        <x:v>Disease Area|Respiratory|Phase I</x:v>
      </x:c>
      <x:c r="B38" s="10" t="str">
        <x:v>Disease Area</x:v>
      </x:c>
      <x:c r="C38" s="10" t="str">
        <x:v>Respiratory</x:v>
      </x:c>
      <x:c r="D38" s="10" t="str">
        <x:v>Phase I</x:v>
      </x:c>
      <x:c r="E38" s="56" t="n">
        <x:v>0.075</x:v>
      </x:c>
      <x:c r="F38" s="58" t="n">
        <x:v>501</x:v>
      </x:c>
      <x:c r="G38" s="10" t="str">
        <x:v>Figure 2 transition POS; Figure 5b LOA</x:v>
      </x:c>
      <x:c r="H38" s="10" t="str">
        <x:v>7, 11</x:v>
      </x:c>
      <x:c r="I38" s="10" t="str">
        <x:v>Disease-area benchmark from 14 major disease groupings plus All indications.</x:v>
      </x:c>
    </x:row>
    <x:row r="39">
      <x:c r="A39" s="10" t="str">
        <x:v>Disease Area|Respiratory|Phase II</x:v>
      </x:c>
      <x:c r="B39" s="10" t="str">
        <x:v>Disease Area</x:v>
      </x:c>
      <x:c r="C39" s="10" t="str">
        <x:v>Respiratory</x:v>
      </x:c>
      <x:c r="D39" s="10" t="str">
        <x:v>Phase II</x:v>
      </x:c>
      <x:c r="E39" s="56" t="n">
        <x:v>0.135</x:v>
      </x:c>
      <x:c r="F39" s="58" t="n">
        <x:v>322</x:v>
      </x:c>
      <x:c r="G39" s="10" t="str">
        <x:v>Figure 2 transition POS; Figure 5b LOA</x:v>
      </x:c>
      <x:c r="H39" s="10" t="str">
        <x:v>7, 11</x:v>
      </x:c>
      <x:c r="I39" s="10" t="str">
        <x:v>Disease-area benchmark from 14 major disease groupings plus All indications.</x:v>
      </x:c>
    </x:row>
    <x:row r="40">
      <x:c r="A40" s="10" t="str">
        <x:v>Disease Area|Respiratory|Phase III</x:v>
      </x:c>
      <x:c r="B40" s="10" t="str">
        <x:v>Disease Area</x:v>
      </x:c>
      <x:c r="C40" s="10" t="str">
        <x:v>Respiratory</x:v>
      </x:c>
      <x:c r="D40" s="10" t="str">
        <x:v>Phase III</x:v>
      </x:c>
      <x:c r="E40" s="56" t="n">
        <x:v>0.616</x:v>
      </x:c>
      <x:c r="F40" s="58" t="n">
        <x:v>107</x:v>
      </x:c>
      <x:c r="G40" s="10" t="str">
        <x:v>Figure 2 transition POS; Figure 5b LOA</x:v>
      </x:c>
      <x:c r="H40" s="10" t="str">
        <x:v>7, 11</x:v>
      </x:c>
      <x:c r="I40" s="10" t="str">
        <x:v>Disease-area benchmark from 14 major disease groupings plus All indications.</x:v>
      </x:c>
    </x:row>
    <x:row r="41">
      <x:c r="A41" s="10" t="str">
        <x:v>Disease Area|Respiratory|NDA/BLA</x:v>
      </x:c>
      <x:c r="B41" s="10" t="str">
        <x:v>Disease Area</x:v>
      </x:c>
      <x:c r="C41" s="10" t="str">
        <x:v>Respiratory</x:v>
      </x:c>
      <x:c r="D41" s="10" t="str">
        <x:v>NDA/BLA</x:v>
      </x:c>
      <x:c r="E41" s="56" t="n">
        <x:v>0.956</x:v>
      </x:c>
      <x:c r="F41" s="58" t="n">
        <x:v>45</x:v>
      </x:c>
      <x:c r="G41" s="10" t="str">
        <x:v>Figure 2 transition POS; Figure 5b LOA</x:v>
      </x:c>
      <x:c r="H41" s="10" t="str">
        <x:v>7, 11</x:v>
      </x:c>
      <x:c r="I41" s="10" t="str">
        <x:v>Disease-area benchmark from 14 major disease groupings plus All indications.</x:v>
      </x:c>
    </x:row>
    <x:row r="42">
      <x:c r="A42" s="10" t="str">
        <x:v>Disease Area|Psychiatry|Phase I</x:v>
      </x:c>
      <x:c r="B42" s="10" t="str">
        <x:v>Disease Area</x:v>
      </x:c>
      <x:c r="C42" s="10" t="str">
        <x:v>Psychiatry</x:v>
      </x:c>
      <x:c r="D42" s="10" t="str">
        <x:v>Phase I</x:v>
      </x:c>
      <x:c r="E42" s="56" t="n">
        <x:v>0.073</x:v>
      </x:c>
      <x:c r="F42" s="58" t="n">
        <x:v>442</x:v>
      </x:c>
      <x:c r="G42" s="10" t="str">
        <x:v>Figure 2 transition POS; Figure 5b LOA</x:v>
      </x:c>
      <x:c r="H42" s="10" t="str">
        <x:v>7, 11</x:v>
      </x:c>
      <x:c r="I42" s="10" t="str">
        <x:v>Disease-area benchmark from 14 major disease groupings plus All indications.</x:v>
      </x:c>
    </x:row>
    <x:row r="43">
      <x:c r="A43" s="10" t="str">
        <x:v>Disease Area|Psychiatry|Phase II</x:v>
      </x:c>
      <x:c r="B43" s="10" t="str">
        <x:v>Disease Area</x:v>
      </x:c>
      <x:c r="C43" s="10" t="str">
        <x:v>Psychiatry</x:v>
      </x:c>
      <x:c r="D43" s="10" t="str">
        <x:v>Phase II</x:v>
      </x:c>
      <x:c r="E43" s="56" t="n">
        <x:v>0.138</x:v>
      </x:c>
      <x:c r="F43" s="58" t="n">
        <x:v>292</x:v>
      </x:c>
      <x:c r="G43" s="10" t="str">
        <x:v>Figure 2 transition POS; Figure 5b LOA</x:v>
      </x:c>
      <x:c r="H43" s="10" t="str">
        <x:v>7, 11</x:v>
      </x:c>
      <x:c r="I43" s="10" t="str">
        <x:v>Disease-area benchmark from 14 major disease groupings plus All indications.</x:v>
      </x:c>
    </x:row>
    <x:row r="44">
      <x:c r="A44" s="10" t="str">
        <x:v>Disease Area|Psychiatry|Phase III</x:v>
      </x:c>
      <x:c r="B44" s="10" t="str">
        <x:v>Disease Area</x:v>
      </x:c>
      <x:c r="C44" s="10" t="str">
        <x:v>Psychiatry</x:v>
      </x:c>
      <x:c r="D44" s="10" t="str">
        <x:v>Phase III</x:v>
      </x:c>
      <x:c r="E44" s="56" t="n">
        <x:v>0.514</x:v>
      </x:c>
      <x:c r="F44" s="58" t="n">
        <x:v>128</x:v>
      </x:c>
      <x:c r="G44" s="10" t="str">
        <x:v>Figure 2 transition POS; Figure 5b LOA</x:v>
      </x:c>
      <x:c r="H44" s="10" t="str">
        <x:v>7, 11</x:v>
      </x:c>
      <x:c r="I44" s="10" t="str">
        <x:v>Disease-area benchmark from 14 major disease groupings plus All indications.</x:v>
      </x:c>
    </x:row>
    <x:row r="45">
      <x:c r="A45" s="10" t="str">
        <x:v>Disease Area|Psychiatry|NDA/BLA</x:v>
      </x:c>
      <x:c r="B45" s="10" t="str">
        <x:v>Disease Area</x:v>
      </x:c>
      <x:c r="C45" s="10" t="str">
        <x:v>Psychiatry</x:v>
      </x:c>
      <x:c r="D45" s="10" t="str">
        <x:v>NDA/BLA</x:v>
      </x:c>
      <x:c r="E45" s="56" t="n">
        <x:v>0.912</x:v>
      </x:c>
      <x:c r="F45" s="58" t="n">
        <x:v>57</x:v>
      </x:c>
      <x:c r="G45" s="10" t="str">
        <x:v>Figure 2 transition POS; Figure 5b LOA</x:v>
      </x:c>
      <x:c r="H45" s="10" t="str">
        <x:v>7, 11</x:v>
      </x:c>
      <x:c r="I45" s="10" t="str">
        <x:v>Disease-area benchmark from 14 major disease groupings plus All indications.</x:v>
      </x:c>
    </x:row>
    <x:row r="46">
      <x:c r="A46" s="10" t="str">
        <x:v>Disease Area|Endocrine|Phase I</x:v>
      </x:c>
      <x:c r="B46" s="10" t="str">
        <x:v>Disease Area</x:v>
      </x:c>
      <x:c r="C46" s="10" t="str">
        <x:v>Endocrine</x:v>
      </x:c>
      <x:c r="D46" s="10" t="str">
        <x:v>Phase I</x:v>
      </x:c>
      <x:c r="E46" s="56" t="n">
        <x:v>0.066</x:v>
      </x:c>
      <x:c r="F46" s="58" t="n">
        <x:v>887</x:v>
      </x:c>
      <x:c r="G46" s="10" t="str">
        <x:v>Figure 2 transition POS; Figure 5b LOA</x:v>
      </x:c>
      <x:c r="H46" s="10" t="str">
        <x:v>7, 11</x:v>
      </x:c>
      <x:c r="I46" s="10" t="str">
        <x:v>Disease-area benchmark from 14 major disease groupings plus All indications.</x:v>
      </x:c>
    </x:row>
    <x:row r="47">
      <x:c r="A47" s="10" t="str">
        <x:v>Disease Area|Endocrine|Phase II</x:v>
      </x:c>
      <x:c r="B47" s="10" t="str">
        <x:v>Disease Area</x:v>
      </x:c>
      <x:c r="C47" s="10" t="str">
        <x:v>Endocrine</x:v>
      </x:c>
      <x:c r="D47" s="10" t="str">
        <x:v>Phase II</x:v>
      </x:c>
      <x:c r="E47" s="56" t="n">
        <x:v>0.152</x:v>
      </x:c>
      <x:c r="F47" s="58" t="n">
        <x:v>568</x:v>
      </x:c>
      <x:c r="G47" s="10" t="str">
        <x:v>Figure 2 transition POS; Figure 5b LOA</x:v>
      </x:c>
      <x:c r="H47" s="10" t="str">
        <x:v>7, 11</x:v>
      </x:c>
      <x:c r="I47" s="10" t="str">
        <x:v>Disease-area benchmark from 14 major disease groupings plus All indications.</x:v>
      </x:c>
    </x:row>
    <x:row r="48">
      <x:c r="A48" s="10" t="str">
        <x:v>Disease Area|Endocrine|Phase III</x:v>
      </x:c>
      <x:c r="B48" s="10" t="str">
        <x:v>Disease Area</x:v>
      </x:c>
      <x:c r="C48" s="10" t="str">
        <x:v>Endocrine</x:v>
      </x:c>
      <x:c r="D48" s="10" t="str">
        <x:v>Phase III</x:v>
      </x:c>
      <x:c r="E48" s="56" t="n">
        <x:v>0.571</x:v>
      </x:c>
      <x:c r="F48" s="58" t="n">
        <x:v>275</x:v>
      </x:c>
      <x:c r="G48" s="10" t="str">
        <x:v>Figure 2 transition POS; Figure 5b LOA</x:v>
      </x:c>
      <x:c r="H48" s="10" t="str">
        <x:v>7, 11</x:v>
      </x:c>
      <x:c r="I48" s="10" t="str">
        <x:v>Disease-area benchmark from 14 major disease groupings plus All indications.</x:v>
      </x:c>
    </x:row>
    <x:row r="49">
      <x:c r="A49" s="10" t="str">
        <x:v>Disease Area|Endocrine|NDA/BLA</x:v>
      </x:c>
      <x:c r="B49" s="10" t="str">
        <x:v>Disease Area</x:v>
      </x:c>
      <x:c r="C49" s="10" t="str">
        <x:v>Endocrine</x:v>
      </x:c>
      <x:c r="D49" s="10" t="str">
        <x:v>NDA/BLA</x:v>
      </x:c>
      <x:c r="E49" s="56" t="n">
        <x:v>0.863</x:v>
      </x:c>
      <x:c r="F49" s="58" t="n">
        <x:v>124</x:v>
      </x:c>
      <x:c r="G49" s="10" t="str">
        <x:v>Figure 2 transition POS; Figure 5b LOA</x:v>
      </x:c>
      <x:c r="H49" s="10" t="str">
        <x:v>7, 11</x:v>
      </x:c>
      <x:c r="I49" s="10" t="str">
        <x:v>Disease-area benchmark from 14 major disease groupings plus All indications.</x:v>
      </x:c>
    </x:row>
    <x:row r="50">
      <x:c r="A50" s="10" t="str">
        <x:v>Disease Area|Neurology|Phase I</x:v>
      </x:c>
      <x:c r="B50" s="10" t="str">
        <x:v>Disease Area</x:v>
      </x:c>
      <x:c r="C50" s="10" t="str">
        <x:v>Neurology</x:v>
      </x:c>
      <x:c r="D50" s="10" t="str">
        <x:v>Phase I</x:v>
      </x:c>
      <x:c r="E50" s="56" t="n">
        <x:v>0.059</x:v>
      </x:c>
      <x:c r="F50" s="58" t="n">
        <x:v>1411</x:v>
      </x:c>
      <x:c r="G50" s="10" t="str">
        <x:v>Figure 2 transition POS; Figure 5b LOA</x:v>
      </x:c>
      <x:c r="H50" s="10" t="str">
        <x:v>7, 11</x:v>
      </x:c>
      <x:c r="I50" s="10" t="str">
        <x:v>Disease-area benchmark from 14 major disease groupings plus All indications.</x:v>
      </x:c>
    </x:row>
    <x:row r="51">
      <x:c r="A51" s="10" t="str">
        <x:v>Disease Area|Neurology|Phase II</x:v>
      </x:c>
      <x:c r="B51" s="10" t="str">
        <x:v>Disease Area</x:v>
      </x:c>
      <x:c r="C51" s="10" t="str">
        <x:v>Neurology</x:v>
      </x:c>
      <x:c r="D51" s="10" t="str">
        <x:v>Phase II</x:v>
      </x:c>
      <x:c r="E51" s="56" t="n">
        <x:v>0.123</x:v>
      </x:c>
      <x:c r="F51" s="58" t="n">
        <x:v>895</x:v>
      </x:c>
      <x:c r="G51" s="10" t="str">
        <x:v>Figure 2 transition POS; Figure 5b LOA</x:v>
      </x:c>
      <x:c r="H51" s="10" t="str">
        <x:v>7, 11</x:v>
      </x:c>
      <x:c r="I51" s="10" t="str">
        <x:v>Disease-area benchmark from 14 major disease groupings plus All indications.</x:v>
      </x:c>
    </x:row>
    <x:row r="52">
      <x:c r="A52" s="10" t="str">
        <x:v>Disease Area|Neurology|Phase III</x:v>
      </x:c>
      <x:c r="B52" s="10" t="str">
        <x:v>Disease Area</x:v>
      </x:c>
      <x:c r="C52" s="10" t="str">
        <x:v>Neurology</x:v>
      </x:c>
      <x:c r="D52" s="10" t="str">
        <x:v>Phase III</x:v>
      </x:c>
      <x:c r="E52" s="56" t="n">
        <x:v>0.46</x:v>
      </x:c>
      <x:c r="F52" s="58" t="n">
        <x:v>391</x:v>
      </x:c>
      <x:c r="G52" s="10" t="str">
        <x:v>Figure 2 transition POS; Figure 5b LOA</x:v>
      </x:c>
      <x:c r="H52" s="10" t="str">
        <x:v>7, 11</x:v>
      </x:c>
      <x:c r="I52" s="10" t="str">
        <x:v>Disease-area benchmark from 14 major disease groupings plus All indications.</x:v>
      </x:c>
    </x:row>
    <x:row r="53">
      <x:c r="A53" s="10" t="str">
        <x:v>Disease Area|Neurology|NDA/BLA</x:v>
      </x:c>
      <x:c r="B53" s="10" t="str">
        <x:v>Disease Area</x:v>
      </x:c>
      <x:c r="C53" s="10" t="str">
        <x:v>Neurology</x:v>
      </x:c>
      <x:c r="D53" s="10" t="str">
        <x:v>NDA/BLA</x:v>
      </x:c>
      <x:c r="E53" s="56" t="n">
        <x:v>0.867</x:v>
      </x:c>
      <x:c r="F53" s="58" t="n">
        <x:v>165</x:v>
      </x:c>
      <x:c r="G53" s="10" t="str">
        <x:v>Figure 2 transition POS; Figure 5b LOA</x:v>
      </x:c>
      <x:c r="H53" s="10" t="str">
        <x:v>7, 11</x:v>
      </x:c>
      <x:c r="I53" s="10" t="str">
        <x:v>Disease-area benchmark from 14 major disease groupings plus All indications.</x:v>
      </x:c>
    </x:row>
    <x:row r="54">
      <x:c r="A54" s="10" t="str">
        <x:v>Disease Area|Oncology|Phase I</x:v>
      </x:c>
      <x:c r="B54" s="10" t="str">
        <x:v>Disease Area</x:v>
      </x:c>
      <x:c r="C54" s="10" t="str">
        <x:v>Oncology</x:v>
      </x:c>
      <x:c r="D54" s="10" t="str">
        <x:v>Phase I</x:v>
      </x:c>
      <x:c r="E54" s="56" t="n">
        <x:v>0.053</x:v>
      </x:c>
      <x:c r="F54" s="58" t="n">
        <x:v>4179</x:v>
      </x:c>
      <x:c r="G54" s="10" t="str">
        <x:v>Figure 2 transition POS; Figure 5b LOA</x:v>
      </x:c>
      <x:c r="H54" s="10" t="str">
        <x:v>7, 11</x:v>
      </x:c>
      <x:c r="I54" s="10" t="str">
        <x:v>Disease-area benchmark from 14 major disease groupings plus All indications.</x:v>
      </x:c>
    </x:row>
    <x:row r="55">
      <x:c r="A55" s="10" t="str">
        <x:v>Disease Area|Oncology|Phase II</x:v>
      </x:c>
      <x:c r="B55" s="10" t="str">
        <x:v>Disease Area</x:v>
      </x:c>
      <x:c r="C55" s="10" t="str">
        <x:v>Oncology</x:v>
      </x:c>
      <x:c r="D55" s="10" t="str">
        <x:v>Phase II</x:v>
      </x:c>
      <x:c r="E55" s="56" t="n">
        <x:v>0.108</x:v>
      </x:c>
      <x:c r="F55" s="58" t="n">
        <x:v>2551</x:v>
      </x:c>
      <x:c r="G55" s="10" t="str">
        <x:v>Figure 2 transition POS; Figure 5b LOA</x:v>
      </x:c>
      <x:c r="H55" s="10" t="str">
        <x:v>7, 11</x:v>
      </x:c>
      <x:c r="I55" s="10" t="str">
        <x:v>Disease-area benchmark from 14 major disease groupings plus All indications.</x:v>
      </x:c>
    </x:row>
    <x:row r="56">
      <x:c r="A56" s="10" t="str">
        <x:v>Disease Area|Oncology|Phase III</x:v>
      </x:c>
      <x:c r="B56" s="10" t="str">
        <x:v>Disease Area</x:v>
      </x:c>
      <x:c r="C56" s="10" t="str">
        <x:v>Oncology</x:v>
      </x:c>
      <x:c r="D56" s="10" t="str">
        <x:v>Phase III</x:v>
      </x:c>
      <x:c r="E56" s="56" t="n">
        <x:v>0.439</x:v>
      </x:c>
      <x:c r="F56" s="58" t="n">
        <x:v>819</x:v>
      </x:c>
      <x:c r="G56" s="10" t="str">
        <x:v>Figure 2 transition POS; Figure 5b LOA</x:v>
      </x:c>
      <x:c r="H56" s="10" t="str">
        <x:v>7, 11</x:v>
      </x:c>
      <x:c r="I56" s="10" t="str">
        <x:v>Disease-area benchmark from 14 major disease groupings plus All indications.</x:v>
      </x:c>
    </x:row>
    <x:row r="57">
      <x:c r="A57" s="10" t="str">
        <x:v>Disease Area|Oncology|NDA/BLA</x:v>
      </x:c>
      <x:c r="B57" s="10" t="str">
        <x:v>Disease Area</x:v>
      </x:c>
      <x:c r="C57" s="10" t="str">
        <x:v>Oncology</x:v>
      </x:c>
      <x:c r="D57" s="10" t="str">
        <x:v>NDA/BLA</x:v>
      </x:c>
      <x:c r="E57" s="56" t="n">
        <x:v>0.92</x:v>
      </x:c>
      <x:c r="F57" s="58" t="n">
        <x:v>324</x:v>
      </x:c>
      <x:c r="G57" s="10" t="str">
        <x:v>Figure 2 transition POS; Figure 5b LOA</x:v>
      </x:c>
      <x:c r="H57" s="10" t="str">
        <x:v>7, 11</x:v>
      </x:c>
      <x:c r="I57" s="10" t="str">
        <x:v>Disease-area benchmark from 14 major disease groupings plus All indications.</x:v>
      </x:c>
    </x:row>
    <x:row r="58">
      <x:c r="A58" s="10" t="str">
        <x:v>Disease Area|Cardiovascular|Phase I</x:v>
      </x:c>
      <x:c r="B58" s="10" t="str">
        <x:v>Disease Area</x:v>
      </x:c>
      <x:c r="C58" s="10" t="str">
        <x:v>Cardiovascular</x:v>
      </x:c>
      <x:c r="D58" s="10" t="str">
        <x:v>Phase I</x:v>
      </x:c>
      <x:c r="E58" s="56" t="n">
        <x:v>0.048</x:v>
      </x:c>
      <x:c r="F58" s="58" t="n">
        <x:v>651</x:v>
      </x:c>
      <x:c r="G58" s="10" t="str">
        <x:v>Figure 2 transition POS; Figure 5b LOA</x:v>
      </x:c>
      <x:c r="H58" s="10" t="str">
        <x:v>7, 11</x:v>
      </x:c>
      <x:c r="I58" s="10" t="str">
        <x:v>Disease-area benchmark from 14 major disease groupings plus All indications.</x:v>
      </x:c>
    </x:row>
    <x:row r="59">
      <x:c r="A59" s="10" t="str">
        <x:v>Disease Area|Cardiovascular|Phase II</x:v>
      </x:c>
      <x:c r="B59" s="10" t="str">
        <x:v>Disease Area</x:v>
      </x:c>
      <x:c r="C59" s="10" t="str">
        <x:v>Cardiovascular</x:v>
      </x:c>
      <x:c r="D59" s="10" t="str">
        <x:v>Phase II</x:v>
      </x:c>
      <x:c r="E59" s="56" t="n">
        <x:v>0.096</x:v>
      </x:c>
      <x:c r="F59" s="58" t="n">
        <x:v>437</x:v>
      </x:c>
      <x:c r="G59" s="10" t="str">
        <x:v>Figure 2 transition POS; Figure 5b LOA</x:v>
      </x:c>
      <x:c r="H59" s="10" t="str">
        <x:v>7, 11</x:v>
      </x:c>
      <x:c r="I59" s="10" t="str">
        <x:v>Disease-area benchmark from 14 major disease groupings plus All indications.</x:v>
      </x:c>
    </x:row>
    <x:row r="60">
      <x:c r="A60" s="10" t="str">
        <x:v>Disease Area|Cardiovascular|Phase III</x:v>
      </x:c>
      <x:c r="B60" s="10" t="str">
        <x:v>Disease Area</x:v>
      </x:c>
      <x:c r="C60" s="10" t="str">
        <x:v>Cardiovascular</x:v>
      </x:c>
      <x:c r="D60" s="10" t="str">
        <x:v>Phase III</x:v>
      </x:c>
      <x:c r="E60" s="56" t="n">
        <x:v>0.456</x:v>
      </x:c>
      <x:c r="F60" s="58" t="n">
        <x:v>185</x:v>
      </x:c>
      <x:c r="G60" s="10" t="str">
        <x:v>Figure 2 transition POS; Figure 5b LOA</x:v>
      </x:c>
      <x:c r="H60" s="10" t="str">
        <x:v>7, 11</x:v>
      </x:c>
      <x:c r="I60" s="10" t="str">
        <x:v>Disease-area benchmark from 14 major disease groupings plus All indications.</x:v>
      </x:c>
    </x:row>
    <x:row r="61">
      <x:c r="A61" s="10" t="str">
        <x:v>Disease Area|Cardiovascular|NDA/BLA</x:v>
      </x:c>
      <x:c r="B61" s="10" t="str">
        <x:v>Disease Area</x:v>
      </x:c>
      <x:c r="C61" s="10" t="str">
        <x:v>Cardiovascular</x:v>
      </x:c>
      <x:c r="D61" s="10" t="str">
        <x:v>NDA/BLA</x:v>
      </x:c>
      <x:c r="E61" s="56" t="n">
        <x:v>0.825</x:v>
      </x:c>
      <x:c r="F61" s="58" t="n">
        <x:v>80</x:v>
      </x:c>
      <x:c r="G61" s="10" t="str">
        <x:v>Figure 2 transition POS; Figure 5b LOA</x:v>
      </x:c>
      <x:c r="H61" s="10" t="str">
        <x:v>7, 11</x:v>
      </x:c>
      <x:c r="I61" s="10" t="str">
        <x:v>Disease-area benchmark from 14 major disease groupings plus All indications.</x:v>
      </x:c>
    </x:row>
    <x:row r="62">
      <x:c r="A62" s="10" t="str">
        <x:v>Disease Area|Urology|Phase I</x:v>
      </x:c>
      <x:c r="B62" s="10" t="str">
        <x:v>Disease Area</x:v>
      </x:c>
      <x:c r="C62" s="10" t="str">
        <x:v>Urology</x:v>
      </x:c>
      <x:c r="D62" s="10" t="str">
        <x:v>Phase I</x:v>
      </x:c>
      <x:c r="E62" s="56" t="n">
        <x:v>0.036</x:v>
      </x:c>
      <x:c r="F62" s="58" t="n">
        <x:v>88</x:v>
      </x:c>
      <x:c r="G62" s="10" t="str">
        <x:v>Figure 2 transition POS; Figure 5b LOA</x:v>
      </x:c>
      <x:c r="H62" s="10" t="str">
        <x:v>7, 11</x:v>
      </x:c>
      <x:c r="I62" s="10" t="str">
        <x:v>Disease-area benchmark from 14 major disease groupings plus All indications.</x:v>
      </x:c>
    </x:row>
    <x:row r="63">
      <x:c r="A63" s="10" t="str">
        <x:v>Disease Area|Urology|Phase II</x:v>
      </x:c>
      <x:c r="B63" s="10" t="str">
        <x:v>Disease Area</x:v>
      </x:c>
      <x:c r="C63" s="10" t="str">
        <x:v>Urology</x:v>
      </x:c>
      <x:c r="D63" s="10" t="str">
        <x:v>Phase II</x:v>
      </x:c>
      <x:c r="E63" s="56" t="n">
        <x:v>0.088</x:v>
      </x:c>
      <x:c r="F63" s="58" t="n">
        <x:v>66</x:v>
      </x:c>
      <x:c r="G63" s="10" t="str">
        <x:v>Figure 2 transition POS; Figure 5b LOA</x:v>
      </x:c>
      <x:c r="H63" s="10" t="str">
        <x:v>7, 11</x:v>
      </x:c>
      <x:c r="I63" s="10" t="str">
        <x:v>Disease-area benchmark from 14 major disease groupings plus All indications.</x:v>
      </x:c>
    </x:row>
    <x:row r="64">
      <x:c r="A64" s="10" t="str">
        <x:v>Disease Area|Urology|Phase III</x:v>
      </x:c>
      <x:c r="B64" s="10" t="str">
        <x:v>Disease Area</x:v>
      </x:c>
      <x:c r="C64" s="10" t="str">
        <x:v>Urology</x:v>
      </x:c>
      <x:c r="D64" s="10" t="str">
        <x:v>Phase III</x:v>
      </x:c>
      <x:c r="E64" s="56" t="n">
        <x:v>0.586</x:v>
      </x:c>
      <x:c r="F64" s="58" t="n">
        <x:v>26</x:v>
      </x:c>
      <x:c r="G64" s="10" t="str">
        <x:v>Figure 2 transition POS; Figure 5b LOA</x:v>
      </x:c>
      <x:c r="H64" s="10" t="str">
        <x:v>7, 11</x:v>
      </x:c>
      <x:c r="I64" s="10" t="str">
        <x:v>Disease-area benchmark from 14 major disease groupings plus All indications.</x:v>
      </x:c>
    </x:row>
    <x:row r="65">
      <x:c r="A65" s="10" t="str">
        <x:v>Disease Area|Urology|NDA/BLA</x:v>
      </x:c>
      <x:c r="B65" s="10" t="str">
        <x:v>Disease Area</x:v>
      </x:c>
      <x:c r="C65" s="10" t="str">
        <x:v>Urology</x:v>
      </x:c>
      <x:c r="D65" s="10" t="str">
        <x:v>NDA/BLA</x:v>
      </x:c>
      <x:c r="E65" s="56" t="n">
        <x:v>0.846</x:v>
      </x:c>
      <x:c r="F65" s="58" t="n">
        <x:v>13</x:v>
      </x:c>
      <x:c r="G65" s="10" t="str">
        <x:v>Figure 2 transition POS; Figure 5b LOA</x:v>
      </x:c>
      <x:c r="H65" s="10" t="str">
        <x:v>7, 11</x:v>
      </x:c>
      <x:c r="I65" s="10" t="str">
        <x:v>Disease-area benchmark from 14 major disease groupings plus All indications.</x:v>
      </x:c>
    </x:row>
    <x:row r="66">
      <x:c r="A66" s="10" t="str">
        <x:v>Modality|CAR-T|Phase I</x:v>
      </x:c>
      <x:c r="B66" s="10" t="str">
        <x:v>Modality</x:v>
      </x:c>
      <x:c r="C66" s="10" t="str">
        <x:v>CAR-T</x:v>
      </x:c>
      <x:c r="D66" s="10" t="str">
        <x:v>Phase I</x:v>
      </x:c>
      <x:c r="E66" s="56" t="n">
        <x:v>0.173</x:v>
      </x:c>
      <x:c r="F66" s="58" t="n">
        <x:v>67</x:v>
      </x:c>
      <x:c r="G66" s="10" t="str">
        <x:v>Figure 10b</x:v>
      </x:c>
      <x:c r="H66" s="10" t="str">
        <x:v>17</x:v>
      </x:c>
      <x:c r="I66" s="10" t="str">
        <x:v>Drug modality benchmark for selected novel modalities.</x:v>
      </x:c>
    </x:row>
    <x:row r="67">
      <x:c r="A67" s="10" t="str">
        <x:v>Modality|CAR-T|Phase II</x:v>
      </x:c>
      <x:c r="B67" s="10" t="str">
        <x:v>Modality</x:v>
      </x:c>
      <x:c r="C67" s="10" t="str">
        <x:v>CAR-T</x:v>
      </x:c>
      <x:c r="D67" s="10" t="str">
        <x:v>Phase II</x:v>
      </x:c>
      <x:c r="E67" s="56" t="n">
        <x:v>0.392</x:v>
      </x:c>
      <x:c r="F67" s="58" t="n">
        <x:v>24</x:v>
      </x:c>
      <x:c r="G67" s="10" t="str">
        <x:v>Figure 10b</x:v>
      </x:c>
      <x:c r="H67" s="10" t="str">
        <x:v>17</x:v>
      </x:c>
      <x:c r="I67" s="10" t="str">
        <x:v>Drug modality benchmark for selected novel modalities.</x:v>
      </x:c>
    </x:row>
    <x:row r="68">
      <x:c r="A68" s="10" t="str">
        <x:v>Modality|CAR-T|Phase III</x:v>
      </x:c>
      <x:c r="B68" s="10" t="str">
        <x:v>Modality</x:v>
      </x:c>
      <x:c r="C68" s="10" t="str">
        <x:v>CAR-T</x:v>
      </x:c>
      <x:c r="D68" s="10" t="str">
        <x:v>Phase III</x:v>
      </x:c>
      <x:c r="E68" s="56" t="n">
        <x:v>0.667</x:v>
      </x:c>
      <x:c r="F68" s="58" t="n">
        <x:v>7</x:v>
      </x:c>
      <x:c r="G68" s="10" t="str">
        <x:v>Figure 10b</x:v>
      </x:c>
      <x:c r="H68" s="10" t="str">
        <x:v>17</x:v>
      </x:c>
      <x:c r="I68" s="10" t="str">
        <x:v>Drug modality benchmark for selected novel modalities.</x:v>
      </x:c>
    </x:row>
    <x:row r="69">
      <x:c r="A69" s="10" t="str">
        <x:v>Modality|CAR-T|NDA/BLA</x:v>
      </x:c>
      <x:c r="B69" s="10" t="str">
        <x:v>Modality</x:v>
      </x:c>
      <x:c r="C69" s="10" t="str">
        <x:v>CAR-T</x:v>
      </x:c>
      <x:c r="D69" s="10" t="str">
        <x:v>NDA/BLA</x:v>
      </x:c>
      <x:c r="E69" s="56" t="n">
        <x:v>1</x:v>
      </x:c>
      <x:c r="F69" s="58" t="n">
        <x:v>4</x:v>
      </x:c>
      <x:c r="G69" s="10" t="str">
        <x:v>Figure 10b</x:v>
      </x:c>
      <x:c r="H69" s="10" t="str">
        <x:v>17</x:v>
      </x:c>
      <x:c r="I69" s="10" t="str">
        <x:v>Drug modality benchmark for selected novel modalities.</x:v>
      </x:c>
    </x:row>
    <x:row r="70">
      <x:c r="A70" s="10" t="str">
        <x:v>Modality|siRNA/RNAi|Phase I</x:v>
      </x:c>
      <x:c r="B70" s="10" t="str">
        <x:v>Modality</x:v>
      </x:c>
      <x:c r="C70" s="10" t="str">
        <x:v>siRNA/RNAi</x:v>
      </x:c>
      <x:c r="D70" s="10" t="str">
        <x:v>Phase I</x:v>
      </x:c>
      <x:c r="E70" s="56" t="n">
        <x:v>0.135</x:v>
      </x:c>
      <x:c r="F70" s="58" t="n">
        <x:v>87</x:v>
      </x:c>
      <x:c r="G70" s="10" t="str">
        <x:v>Figure 10b</x:v>
      </x:c>
      <x:c r="H70" s="10" t="str">
        <x:v>17</x:v>
      </x:c>
      <x:c r="I70" s="10" t="str">
        <x:v>Drug modality benchmark for selected novel modalities.</x:v>
      </x:c>
    </x:row>
    <x:row r="71">
      <x:c r="A71" s="10" t="str">
        <x:v>Modality|siRNA/RNAi|Phase II</x:v>
      </x:c>
      <x:c r="B71" s="10" t="str">
        <x:v>Modality</x:v>
      </x:c>
      <x:c r="C71" s="10" t="str">
        <x:v>siRNA/RNAi</x:v>
      </x:c>
      <x:c r="D71" s="10" t="str">
        <x:v>Phase II</x:v>
      </x:c>
      <x:c r="E71" s="56" t="n">
        <x:v>0.193</x:v>
      </x:c>
      <x:c r="F71" s="58" t="n">
        <x:v>47</x:v>
      </x:c>
      <x:c r="G71" s="10" t="str">
        <x:v>Figure 10b</x:v>
      </x:c>
      <x:c r="H71" s="10" t="str">
        <x:v>17</x:v>
      </x:c>
      <x:c r="I71" s="10" t="str">
        <x:v>Drug modality benchmark for selected novel modalities.</x:v>
      </x:c>
    </x:row>
    <x:row r="72">
      <x:c r="A72" s="10" t="str">
        <x:v>Modality|siRNA/RNAi|Phase III</x:v>
      </x:c>
      <x:c r="B72" s="10" t="str">
        <x:v>Modality</x:v>
      </x:c>
      <x:c r="C72" s="10" t="str">
        <x:v>siRNA/RNAi</x:v>
      </x:c>
      <x:c r="D72" s="10" t="str">
        <x:v>Phase III</x:v>
      </x:c>
      <x:c r="E72" s="56" t="n">
        <x:v>0.667</x:v>
      </x:c>
      <x:c r="F72" s="58" t="n">
        <x:v>9</x:v>
      </x:c>
      <x:c r="G72" s="10" t="str">
        <x:v>Figure 10b</x:v>
      </x:c>
      <x:c r="H72" s="10" t="str">
        <x:v>17</x:v>
      </x:c>
      <x:c r="I72" s="10" t="str">
        <x:v>Drug modality benchmark for selected novel modalities.</x:v>
      </x:c>
    </x:row>
    <x:row r="73">
      <x:c r="A73" s="10" t="str">
        <x:v>Modality|siRNA/RNAi|NDA/BLA</x:v>
      </x:c>
      <x:c r="B73" s="10" t="str">
        <x:v>Modality</x:v>
      </x:c>
      <x:c r="C73" s="10" t="str">
        <x:v>siRNA/RNAi</x:v>
      </x:c>
      <x:c r="D73" s="10" t="str">
        <x:v>NDA/BLA</x:v>
      </x:c>
      <x:c r="E73" s="56" t="n">
        <x:v>1</x:v>
      </x:c>
      <x:c r="F73" s="58" t="n">
        <x:v>3</x:v>
      </x:c>
      <x:c r="G73" s="10" t="str">
        <x:v>Figure 10b</x:v>
      </x:c>
      <x:c r="H73" s="10" t="str">
        <x:v>17</x:v>
      </x:c>
      <x:c r="I73" s="10" t="str">
        <x:v>Drug modality benchmark for selected novel modalities.</x:v>
      </x:c>
    </x:row>
    <x:row r="74">
      <x:c r="A74" s="10" t="str">
        <x:v>Modality|Monoclonal antibody|Phase I</x:v>
      </x:c>
      <x:c r="B74" s="10" t="str">
        <x:v>Modality</x:v>
      </x:c>
      <x:c r="C74" s="10" t="str">
        <x:v>Monoclonal antibody</x:v>
      </x:c>
      <x:c r="D74" s="10" t="str">
        <x:v>Phase I</x:v>
      </x:c>
      <x:c r="E74" s="56" t="n">
        <x:v>0.121</x:v>
      </x:c>
      <x:c r="F74" s="58" t="n">
        <x:v>2136</x:v>
      </x:c>
      <x:c r="G74" s="10" t="str">
        <x:v>Figure 10b</x:v>
      </x:c>
      <x:c r="H74" s="10" t="str">
        <x:v>17</x:v>
      </x:c>
      <x:c r="I74" s="10" t="str">
        <x:v>Drug modality benchmark for selected novel modalities.</x:v>
      </x:c>
    </x:row>
    <x:row r="75">
      <x:c r="A75" s="10" t="str">
        <x:v>Modality|Monoclonal antibody|Phase II</x:v>
      </x:c>
      <x:c r="B75" s="10" t="str">
        <x:v>Modality</x:v>
      </x:c>
      <x:c r="C75" s="10" t="str">
        <x:v>Monoclonal antibody</x:v>
      </x:c>
      <x:c r="D75" s="10" t="str">
        <x:v>Phase II</x:v>
      </x:c>
      <x:c r="E75" s="56" t="n">
        <x:v>0.221</x:v>
      </x:c>
      <x:c r="F75" s="58" t="n">
        <x:v>1332</x:v>
      </x:c>
      <x:c r="G75" s="10" t="str">
        <x:v>Figure 10b</x:v>
      </x:c>
      <x:c r="H75" s="10" t="str">
        <x:v>17</x:v>
      </x:c>
      <x:c r="I75" s="10" t="str">
        <x:v>Drug modality benchmark for selected novel modalities.</x:v>
      </x:c>
    </x:row>
    <x:row r="76">
      <x:c r="A76" s="10" t="str">
        <x:v>Modality|Monoclonal antibody|Phase III</x:v>
      </x:c>
      <x:c r="B76" s="10" t="str">
        <x:v>Modality</x:v>
      </x:c>
      <x:c r="C76" s="10" t="str">
        <x:v>Monoclonal antibody</x:v>
      </x:c>
      <x:c r="D76" s="10" t="str">
        <x:v>Phase III</x:v>
      </x:c>
      <x:c r="E76" s="56" t="n">
        <x:v>0.649</x:v>
      </x:c>
      <x:c r="F76" s="58" t="n">
        <x:v>592</x:v>
      </x:c>
      <x:c r="G76" s="10" t="str">
        <x:v>Figure 10b</x:v>
      </x:c>
      <x:c r="H76" s="10" t="str">
        <x:v>17</x:v>
      </x:c>
      <x:c r="I76" s="10" t="str">
        <x:v>Drug modality benchmark for selected novel modalities.</x:v>
      </x:c>
    </x:row>
    <x:row r="77">
      <x:c r="A77" s="10" t="str">
        <x:v>Modality|Monoclonal antibody|NDA/BLA</x:v>
      </x:c>
      <x:c r="B77" s="10" t="str">
        <x:v>Modality</x:v>
      </x:c>
      <x:c r="C77" s="10" t="str">
        <x:v>Monoclonal antibody</x:v>
      </x:c>
      <x:c r="D77" s="10" t="str">
        <x:v>NDA/BLA</x:v>
      </x:c>
      <x:c r="E77" s="56" t="n">
        <x:v>0.954</x:v>
      </x:c>
      <x:c r="F77" s="58" t="n">
        <x:v>282</x:v>
      </x:c>
      <x:c r="G77" s="10" t="str">
        <x:v>Figure 10b</x:v>
      </x:c>
      <x:c r="H77" s="10" t="str">
        <x:v>17</x:v>
      </x:c>
      <x:c r="I77" s="10" t="str">
        <x:v>Drug modality benchmark for selected novel modalities.</x:v>
      </x:c>
    </x:row>
    <x:row r="78">
      <x:c r="A78" s="10" t="str">
        <x:v>Modality|ADCs|Phase I</x:v>
      </x:c>
      <x:c r="B78" s="10" t="str">
        <x:v>Modality</x:v>
      </x:c>
      <x:c r="C78" s="10" t="str">
        <x:v>ADCs</x:v>
      </x:c>
      <x:c r="D78" s="10" t="str">
        <x:v>Phase I</x:v>
      </x:c>
      <x:c r="E78" s="56" t="n">
        <x:v>0.108</x:v>
      </x:c>
      <x:c r="F78" s="58" t="n">
        <x:v>184</x:v>
      </x:c>
      <x:c r="G78" s="10" t="str">
        <x:v>Figure 10b</x:v>
      </x:c>
      <x:c r="H78" s="10" t="str">
        <x:v>17</x:v>
      </x:c>
      <x:c r="I78" s="10" t="str">
        <x:v>Drug modality benchmark for selected novel modalities.</x:v>
      </x:c>
    </x:row>
    <x:row r="79">
      <x:c r="A79" s="10" t="str">
        <x:v>Modality|ADCs|Phase II</x:v>
      </x:c>
      <x:c r="B79" s="10" t="str">
        <x:v>Modality</x:v>
      </x:c>
      <x:c r="C79" s="10" t="str">
        <x:v>ADCs</x:v>
      </x:c>
      <x:c r="D79" s="10" t="str">
        <x:v>Phase II</x:v>
      </x:c>
      <x:c r="E79" s="56" t="n">
        <x:v>0.259</x:v>
      </x:c>
      <x:c r="F79" s="58" t="n">
        <x:v>81</x:v>
      </x:c>
      <x:c r="G79" s="10" t="str">
        <x:v>Figure 10b</x:v>
      </x:c>
      <x:c r="H79" s="10" t="str">
        <x:v>17</x:v>
      </x:c>
      <x:c r="I79" s="10" t="str">
        <x:v>Drug modality benchmark for selected novel modalities.</x:v>
      </x:c>
    </x:row>
    <x:row r="80">
      <x:c r="A80" s="10" t="str">
        <x:v>Modality|ADCs|Phase III</x:v>
      </x:c>
      <x:c r="B80" s="10" t="str">
        <x:v>Modality</x:v>
      </x:c>
      <x:c r="C80" s="10" t="str">
        <x:v>ADCs</x:v>
      </x:c>
      <x:c r="D80" s="10" t="str">
        <x:v>Phase III</x:v>
      </x:c>
      <x:c r="E80" s="56" t="n">
        <x:v>0.625</x:v>
      </x:c>
      <x:c r="F80" s="58" t="n">
        <x:v>28</x:v>
      </x:c>
      <x:c r="G80" s="10" t="str">
        <x:v>Figure 10b</x:v>
      </x:c>
      <x:c r="H80" s="10" t="str">
        <x:v>17</x:v>
      </x:c>
      <x:c r="I80" s="10" t="str">
        <x:v>Drug modality benchmark for selected novel modalities.</x:v>
      </x:c>
    </x:row>
    <x:row r="81">
      <x:c r="A81" s="10" t="str">
        <x:v>Modality|ADCs|NDA/BLA</x:v>
      </x:c>
      <x:c r="B81" s="10" t="str">
        <x:v>Modality</x:v>
      </x:c>
      <x:c r="C81" s="10" t="str">
        <x:v>ADCs</x:v>
      </x:c>
      <x:c r="D81" s="10" t="str">
        <x:v>NDA/BLA</x:v>
      </x:c>
      <x:c r="E81" s="56" t="n">
        <x:v>1</x:v>
      </x:c>
      <x:c r="F81" s="58" t="n">
        <x:v>12</x:v>
      </x:c>
      <x:c r="G81" s="10" t="str">
        <x:v>Figure 10b</x:v>
      </x:c>
      <x:c r="H81" s="10" t="str">
        <x:v>17</x:v>
      </x:c>
      <x:c r="I81" s="10" t="str">
        <x:v>Drug modality benchmark for selected novel modalities.</x:v>
      </x:c>
    </x:row>
    <x:row r="82">
      <x:c r="A82" s="10" t="str">
        <x:v>Modality|Gene therapy|Phase I</x:v>
      </x:c>
      <x:c r="B82" s="10" t="str">
        <x:v>Modality</x:v>
      </x:c>
      <x:c r="C82" s="10" t="str">
        <x:v>Gene therapy</x:v>
      </x:c>
      <x:c r="D82" s="10" t="str">
        <x:v>Phase I</x:v>
      </x:c>
      <x:c r="E82" s="56" t="n">
        <x:v>0.1</x:v>
      </x:c>
      <x:c r="F82" s="58" t="n">
        <x:v>96</x:v>
      </x:c>
      <x:c r="G82" s="10" t="str">
        <x:v>Figure 10b</x:v>
      </x:c>
      <x:c r="H82" s="10" t="str">
        <x:v>17</x:v>
      </x:c>
      <x:c r="I82" s="10" t="str">
        <x:v>Drug modality benchmark for selected novel modalities.</x:v>
      </x:c>
    </x:row>
    <x:row r="83">
      <x:c r="A83" s="10" t="str">
        <x:v>Modality|Gene therapy|Phase II</x:v>
      </x:c>
      <x:c r="B83" s="10" t="str">
        <x:v>Modality</x:v>
      </x:c>
      <x:c r="C83" s="10" t="str">
        <x:v>Gene therapy</x:v>
      </x:c>
      <x:c r="D83" s="10" t="str">
        <x:v>Phase II</x:v>
      </x:c>
      <x:c r="E83" s="56" t="n">
        <x:v>0.193</x:v>
      </x:c>
      <x:c r="F83" s="58" t="n">
        <x:v>69</x:v>
      </x:c>
      <x:c r="G83" s="10" t="str">
        <x:v>Figure 10b</x:v>
      </x:c>
      <x:c r="H83" s="10" t="str">
        <x:v>17</x:v>
      </x:c>
      <x:c r="I83" s="10" t="str">
        <x:v>Drug modality benchmark for selected novel modalities.</x:v>
      </x:c>
    </x:row>
    <x:row r="84">
      <x:c r="A84" s="10" t="str">
        <x:v>Modality|Gene therapy|Phase III</x:v>
      </x:c>
      <x:c r="B84" s="10" t="str">
        <x:v>Modality</x:v>
      </x:c>
      <x:c r="C84" s="10" t="str">
        <x:v>Gene therapy</x:v>
      </x:c>
      <x:c r="D84" s="10" t="str">
        <x:v>Phase III</x:v>
      </x:c>
      <x:c r="E84" s="56" t="n">
        <x:v>0.5</x:v>
      </x:c>
      <x:c r="F84" s="58" t="n">
        <x:v>12</x:v>
      </x:c>
      <x:c r="G84" s="10" t="str">
        <x:v>Figure 10b</x:v>
      </x:c>
      <x:c r="H84" s="10" t="str">
        <x:v>17</x:v>
      </x:c>
      <x:c r="I84" s="10" t="str">
        <x:v>Drug modality benchmark for selected novel modalities.</x:v>
      </x:c>
    </x:row>
    <x:row r="85">
      <x:c r="A85" s="10" t="str">
        <x:v>Modality|Gene therapy|NDA/BLA</x:v>
      </x:c>
      <x:c r="B85" s="10" t="str">
        <x:v>Modality</x:v>
      </x:c>
      <x:c r="C85" s="10" t="str">
        <x:v>Gene therapy</x:v>
      </x:c>
      <x:c r="D85" s="10" t="str">
        <x:v>NDA/BLA</x:v>
      </x:c>
      <x:c r="E85" s="56" t="n">
        <x:v>1</x:v>
      </x:c>
      <x:c r="F85" s="58" t="n">
        <x:v>2</x:v>
      </x:c>
      <x:c r="G85" s="10" t="str">
        <x:v>Figure 10b</x:v>
      </x:c>
      <x:c r="H85" s="10" t="str">
        <x:v>17</x:v>
      </x:c>
      <x:c r="I85" s="10" t="str">
        <x:v>Drug modality benchmark for selected novel modalities.</x:v>
      </x:c>
    </x:row>
    <x:row r="86">
      <x:c r="A86" s="10" t="str">
        <x:v>Modality|Vaccine|Phase I</x:v>
      </x:c>
      <x:c r="B86" s="10" t="str">
        <x:v>Modality</x:v>
      </x:c>
      <x:c r="C86" s="10" t="str">
        <x:v>Vaccine</x:v>
      </x:c>
      <x:c r="D86" s="10" t="str">
        <x:v>Phase I</x:v>
      </x:c>
      <x:c r="E86" s="56" t="n">
        <x:v>0.097</x:v>
      </x:c>
      <x:c r="F86" s="58" t="n">
        <x:v>316</x:v>
      </x:c>
      <x:c r="G86" s="10" t="str">
        <x:v>Figure 10b</x:v>
      </x:c>
      <x:c r="H86" s="10" t="str">
        <x:v>17</x:v>
      </x:c>
      <x:c r="I86" s="10" t="str">
        <x:v>Drug modality benchmark for selected novel modalities.</x:v>
      </x:c>
    </x:row>
    <x:row r="87">
      <x:c r="A87" s="10" t="str">
        <x:v>Modality|Vaccine|Phase II</x:v>
      </x:c>
      <x:c r="B87" s="10" t="str">
        <x:v>Modality</x:v>
      </x:c>
      <x:c r="C87" s="10" t="str">
        <x:v>Vaccine</x:v>
      </x:c>
      <x:c r="D87" s="10" t="str">
        <x:v>Phase II</x:v>
      </x:c>
      <x:c r="E87" s="56" t="n">
        <x:v>0.184</x:v>
      </x:c>
      <x:c r="F87" s="58" t="n">
        <x:v>187</x:v>
      </x:c>
      <x:c r="G87" s="10" t="str">
        <x:v>Figure 10b</x:v>
      </x:c>
      <x:c r="H87" s="10" t="str">
        <x:v>17</x:v>
      </x:c>
      <x:c r="I87" s="10" t="str">
        <x:v>Drug modality benchmark for selected novel modalities.</x:v>
      </x:c>
    </x:row>
    <x:row r="88">
      <x:c r="A88" s="10" t="str">
        <x:v>Modality|Vaccine|Phase III</x:v>
      </x:c>
      <x:c r="B88" s="10" t="str">
        <x:v>Modality</x:v>
      </x:c>
      <x:c r="C88" s="10" t="str">
        <x:v>Vaccine</x:v>
      </x:c>
      <x:c r="D88" s="10" t="str">
        <x:v>Phase III</x:v>
      </x:c>
      <x:c r="E88" s="56" t="n">
        <x:v>0.581</x:v>
      </x:c>
      <x:c r="F88" s="58" t="n">
        <x:v>70</x:v>
      </x:c>
      <x:c r="G88" s="10" t="str">
        <x:v>Figure 10b</x:v>
      </x:c>
      <x:c r="H88" s="10" t="str">
        <x:v>17</x:v>
      </x:c>
      <x:c r="I88" s="10" t="str">
        <x:v>Drug modality benchmark for selected novel modalities.</x:v>
      </x:c>
    </x:row>
    <x:row r="89">
      <x:c r="A89" s="10" t="str">
        <x:v>Modality|Vaccine|NDA/BLA</x:v>
      </x:c>
      <x:c r="B89" s="10" t="str">
        <x:v>Modality</x:v>
      </x:c>
      <x:c r="C89" s="10" t="str">
        <x:v>Vaccine</x:v>
      </x:c>
      <x:c r="D89" s="10" t="str">
        <x:v>NDA/BLA</x:v>
      </x:c>
      <x:c r="E89" s="56" t="n">
        <x:v>1</x:v>
      </x:c>
      <x:c r="F89" s="58" t="n">
        <x:v>27</x:v>
      </x:c>
      <x:c r="G89" s="10" t="str">
        <x:v>Figure 10b</x:v>
      </x:c>
      <x:c r="H89" s="10" t="str">
        <x:v>17</x:v>
      </x:c>
      <x:c r="I89" s="10" t="str">
        <x:v>Drug modality benchmark for selected novel modalities.</x:v>
      </x:c>
    </x:row>
    <x:row r="90">
      <x:c r="A90" s="10" t="str">
        <x:v>Modality|Protein|Phase I</x:v>
      </x:c>
      <x:c r="B90" s="10" t="str">
        <x:v>Modality</x:v>
      </x:c>
      <x:c r="C90" s="10" t="str">
        <x:v>Protein</x:v>
      </x:c>
      <x:c r="D90" s="10" t="str">
        <x:v>Phase I</x:v>
      </x:c>
      <x:c r="E90" s="56" t="n">
        <x:v>0.094</x:v>
      </x:c>
      <x:c r="F90" s="58" t="n">
        <x:v>800</x:v>
      </x:c>
      <x:c r="G90" s="10" t="str">
        <x:v>Figure 10b</x:v>
      </x:c>
      <x:c r="H90" s="10" t="str">
        <x:v>17</x:v>
      </x:c>
      <x:c r="I90" s="10" t="str">
        <x:v>Drug modality benchmark for selected novel modalities.</x:v>
      </x:c>
    </x:row>
    <x:row r="91">
      <x:c r="A91" s="10" t="str">
        <x:v>Modality|Protein|Phase II</x:v>
      </x:c>
      <x:c r="B91" s="10" t="str">
        <x:v>Modality</x:v>
      </x:c>
      <x:c r="C91" s="10" t="str">
        <x:v>Protein</x:v>
      </x:c>
      <x:c r="D91" s="10" t="str">
        <x:v>Phase II</x:v>
      </x:c>
      <x:c r="E91" s="56" t="n">
        <x:v>0.183</x:v>
      </x:c>
      <x:c r="F91" s="58" t="n">
        <x:v>554</x:v>
      </x:c>
      <x:c r="G91" s="10" t="str">
        <x:v>Figure 10b</x:v>
      </x:c>
      <x:c r="H91" s="10" t="str">
        <x:v>17</x:v>
      </x:c>
      <x:c r="I91" s="10" t="str">
        <x:v>Drug modality benchmark for selected novel modalities.</x:v>
      </x:c>
    </x:row>
    <x:row r="92">
      <x:c r="A92" s="10" t="str">
        <x:v>Modality|Protein|Phase III</x:v>
      </x:c>
      <x:c r="B92" s="10" t="str">
        <x:v>Modality</x:v>
      </x:c>
      <x:c r="C92" s="10" t="str">
        <x:v>Protein</x:v>
      </x:c>
      <x:c r="D92" s="10" t="str">
        <x:v>Phase III</x:v>
      </x:c>
      <x:c r="E92" s="56" t="n">
        <x:v>0.554</x:v>
      </x:c>
      <x:c r="F92" s="58" t="n">
        <x:v>266</x:v>
      </x:c>
      <x:c r="G92" s="10" t="str">
        <x:v>Figure 10b</x:v>
      </x:c>
      <x:c r="H92" s="10" t="str">
        <x:v>17</x:v>
      </x:c>
      <x:c r="I92" s="10" t="str">
        <x:v>Drug modality benchmark for selected novel modalities.</x:v>
      </x:c>
    </x:row>
    <x:row r="93">
      <x:c r="A93" s="10" t="str">
        <x:v>Modality|Protein|NDA/BLA</x:v>
      </x:c>
      <x:c r="B93" s="10" t="str">
        <x:v>Modality</x:v>
      </x:c>
      <x:c r="C93" s="10" t="str">
        <x:v>Protein</x:v>
      </x:c>
      <x:c r="D93" s="10" t="str">
        <x:v>NDA/BLA</x:v>
      </x:c>
      <x:c r="E93" s="56" t="n">
        <x:v>0.897</x:v>
      </x:c>
      <x:c r="F93" s="58" t="n">
        <x:v>117</x:v>
      </x:c>
      <x:c r="G93" s="10" t="str">
        <x:v>Figure 10b</x:v>
      </x:c>
      <x:c r="H93" s="10" t="str">
        <x:v>17</x:v>
      </x:c>
      <x:c r="I93" s="10" t="str">
        <x:v>Drug modality benchmark for selected novel modalities.</x:v>
      </x:c>
    </x:row>
    <x:row r="94">
      <x:c r="A94" s="10" t="str">
        <x:v>Modality|Peptide|Phase I</x:v>
      </x:c>
      <x:c r="B94" s="10" t="str">
        <x:v>Modality</x:v>
      </x:c>
      <x:c r="C94" s="10" t="str">
        <x:v>Peptide</x:v>
      </x:c>
      <x:c r="D94" s="10" t="str">
        <x:v>Phase I</x:v>
      </x:c>
      <x:c r="E94" s="56" t="n">
        <x:v>0.08</x:v>
      </x:c>
      <x:c r="F94" s="58" t="n">
        <x:v>619</x:v>
      </x:c>
      <x:c r="G94" s="10" t="str">
        <x:v>Figure 10b</x:v>
      </x:c>
      <x:c r="H94" s="10" t="str">
        <x:v>17</x:v>
      </x:c>
      <x:c r="I94" s="10" t="str">
        <x:v>Drug modality benchmark for selected novel modalities.</x:v>
      </x:c>
    </x:row>
    <x:row r="95">
      <x:c r="A95" s="10" t="str">
        <x:v>Modality|Peptide|Phase II</x:v>
      </x:c>
      <x:c r="B95" s="10" t="str">
        <x:v>Modality</x:v>
      </x:c>
      <x:c r="C95" s="10" t="str">
        <x:v>Peptide</x:v>
      </x:c>
      <x:c r="D95" s="10" t="str">
        <x:v>Phase II</x:v>
      </x:c>
      <x:c r="E95" s="56" t="n">
        <x:v>0.15</x:v>
      </x:c>
      <x:c r="F95" s="58" t="n">
        <x:v>385</x:v>
      </x:c>
      <x:c r="G95" s="10" t="str">
        <x:v>Figure 10b</x:v>
      </x:c>
      <x:c r="H95" s="10" t="str">
        <x:v>17</x:v>
      </x:c>
      <x:c r="I95" s="10" t="str">
        <x:v>Drug modality benchmark for selected novel modalities.</x:v>
      </x:c>
    </x:row>
    <x:row r="96">
      <x:c r="A96" s="10" t="str">
        <x:v>Modality|Peptide|Phase III</x:v>
      </x:c>
      <x:c r="B96" s="10" t="str">
        <x:v>Modality</x:v>
      </x:c>
      <x:c r="C96" s="10" t="str">
        <x:v>Peptide</x:v>
      </x:c>
      <x:c r="D96" s="10" t="str">
        <x:v>Phase III</x:v>
      </x:c>
      <x:c r="E96" s="56" t="n">
        <x:v>0.528</x:v>
      </x:c>
      <x:c r="F96" s="58" t="n">
        <x:v>167</x:v>
      </x:c>
      <x:c r="G96" s="10" t="str">
        <x:v>Figure 10b</x:v>
      </x:c>
      <x:c r="H96" s="10" t="str">
        <x:v>17</x:v>
      </x:c>
      <x:c r="I96" s="10" t="str">
        <x:v>Drug modality benchmark for selected novel modalities.</x:v>
      </x:c>
    </x:row>
    <x:row r="97">
      <x:c r="A97" s="10" t="str">
        <x:v>Modality|Peptide|NDA/BLA</x:v>
      </x:c>
      <x:c r="B97" s="10" t="str">
        <x:v>Modality</x:v>
      </x:c>
      <x:c r="C97" s="10" t="str">
        <x:v>Peptide</x:v>
      </x:c>
      <x:c r="D97" s="10" t="str">
        <x:v>NDA/BLA</x:v>
      </x:c>
      <x:c r="E97" s="56" t="n">
        <x:v>0.881</x:v>
      </x:c>
      <x:c r="F97" s="58" t="n">
        <x:v>67</x:v>
      </x:c>
      <x:c r="G97" s="10" t="str">
        <x:v>Figure 10b</x:v>
      </x:c>
      <x:c r="H97" s="10" t="str">
        <x:v>17</x:v>
      </x:c>
      <x:c r="I97" s="10" t="str">
        <x:v>Drug modality benchmark for selected novel modalities.</x:v>
      </x:c>
    </x:row>
    <x:row r="98">
      <x:c r="A98" s="10" t="str">
        <x:v>Modality|Small molecule|Phase I</x:v>
      </x:c>
      <x:c r="B98" s="10" t="str">
        <x:v>Modality</x:v>
      </x:c>
      <x:c r="C98" s="10" t="str">
        <x:v>Small molecule</x:v>
      </x:c>
      <x:c r="D98" s="10" t="str">
        <x:v>Phase I</x:v>
      </x:c>
      <x:c r="E98" s="56" t="n">
        <x:v>0.075</x:v>
      </x:c>
      <x:c r="F98" s="58" t="n">
        <x:v>7171</x:v>
      </x:c>
      <x:c r="G98" s="10" t="str">
        <x:v>Figure 10b</x:v>
      </x:c>
      <x:c r="H98" s="10" t="str">
        <x:v>17</x:v>
      </x:c>
      <x:c r="I98" s="10" t="str">
        <x:v>Drug modality benchmark for selected novel modalities.</x:v>
      </x:c>
    </x:row>
    <x:row r="99">
      <x:c r="A99" s="10" t="str">
        <x:v>Modality|Small molecule|Phase II</x:v>
      </x:c>
      <x:c r="B99" s="10" t="str">
        <x:v>Modality</x:v>
      </x:c>
      <x:c r="C99" s="10" t="str">
        <x:v>Small molecule</x:v>
      </x:c>
      <x:c r="D99" s="10" t="str">
        <x:v>Phase II</x:v>
      </x:c>
      <x:c r="E99" s="56" t="n">
        <x:v>0.143</x:v>
      </x:c>
      <x:c r="F99" s="58" t="n">
        <x:v>4863</x:v>
      </x:c>
      <x:c r="G99" s="10" t="str">
        <x:v>Figure 10b</x:v>
      </x:c>
      <x:c r="H99" s="10" t="str">
        <x:v>17</x:v>
      </x:c>
      <x:c r="I99" s="10" t="str">
        <x:v>Drug modality benchmark for selected novel modalities.</x:v>
      </x:c>
    </x:row>
    <x:row r="100">
      <x:c r="A100" s="10" t="str">
        <x:v>Modality|Small molecule|Phase III</x:v>
      </x:c>
      <x:c r="B100" s="10" t="str">
        <x:v>Modality</x:v>
      </x:c>
      <x:c r="C100" s="10" t="str">
        <x:v>Small molecule</x:v>
      </x:c>
      <x:c r="D100" s="10" t="str">
        <x:v>Phase III</x:v>
      </x:c>
      <x:c r="E100" s="56" t="n">
        <x:v>0.509</x:v>
      </x:c>
      <x:c r="F100" s="58" t="n">
        <x:v>1967</x:v>
      </x:c>
      <x:c r="G100" s="10" t="str">
        <x:v>Figure 10b</x:v>
      </x:c>
      <x:c r="H100" s="10" t="str">
        <x:v>17</x:v>
      </x:c>
      <x:c r="I100" s="10" t="str">
        <x:v>Drug modality benchmark for selected novel modalities.</x:v>
      </x:c>
    </x:row>
    <x:row r="101">
      <x:c r="A101" s="10" t="str">
        <x:v>Modality|Small molecule|NDA/BLA</x:v>
      </x:c>
      <x:c r="B101" s="10" t="str">
        <x:v>Modality</x:v>
      </x:c>
      <x:c r="C101" s="10" t="str">
        <x:v>Small molecule</x:v>
      </x:c>
      <x:c r="D101" s="10" t="str">
        <x:v>NDA/BLA</x:v>
      </x:c>
      <x:c r="E101" s="56" t="n">
        <x:v>0.895</x:v>
      </x:c>
      <x:c r="F101" s="58" t="n">
        <x:v>849</x:v>
      </x:c>
      <x:c r="G101" s="10" t="str">
        <x:v>Figure 10b</x:v>
      </x:c>
      <x:c r="H101" s="10" t="str">
        <x:v>17</x:v>
      </x:c>
      <x:c r="I101" s="10" t="str">
        <x:v>Drug modality benchmark for selected novel modalities.</x:v>
      </x:c>
    </x:row>
    <x:row r="102">
      <x:c r="A102" s="10" t="str">
        <x:v>Modality|Antisense|Phase I</x:v>
      </x:c>
      <x:c r="B102" s="10" t="str">
        <x:v>Modality</x:v>
      </x:c>
      <x:c r="C102" s="10" t="str">
        <x:v>Antisense</x:v>
      </x:c>
      <x:c r="D102" s="10" t="str">
        <x:v>Phase I</x:v>
      </x:c>
      <x:c r="E102" s="56" t="n">
        <x:v>0.052</x:v>
      </x:c>
      <x:c r="F102" s="58" t="n">
        <x:v>162</x:v>
      </x:c>
      <x:c r="G102" s="10" t="str">
        <x:v>Figure 10b</x:v>
      </x:c>
      <x:c r="H102" s="10" t="str">
        <x:v>17</x:v>
      </x:c>
      <x:c r="I102" s="10" t="str">
        <x:v>Drug modality benchmark for selected novel modalities.</x:v>
      </x:c>
    </x:row>
    <x:row r="103">
      <x:c r="A103" s="10" t="str">
        <x:v>Modality|Antisense|Phase II</x:v>
      </x:c>
      <x:c r="B103" s="10" t="str">
        <x:v>Modality</x:v>
      </x:c>
      <x:c r="C103" s="10" t="str">
        <x:v>Antisense</x:v>
      </x:c>
      <x:c r="D103" s="10" t="str">
        <x:v>Phase II</x:v>
      </x:c>
      <x:c r="E103" s="56" t="n">
        <x:v>0.086</x:v>
      </x:c>
      <x:c r="F103" s="58" t="n">
        <x:v>93</x:v>
      </x:c>
      <x:c r="G103" s="10" t="str">
        <x:v>Figure 10b</x:v>
      </x:c>
      <x:c r="H103" s="10" t="str">
        <x:v>17</x:v>
      </x:c>
      <x:c r="I103" s="10" t="str">
        <x:v>Drug modality benchmark for selected novel modalities.</x:v>
      </x:c>
    </x:row>
    <x:row r="104">
      <x:c r="A104" s="10" t="str">
        <x:v>Modality|Antisense|Phase III</x:v>
      </x:c>
      <x:c r="B104" s="10" t="str">
        <x:v>Modality</x:v>
      </x:c>
      <x:c r="C104" s="10" t="str">
        <x:v>Antisense</x:v>
      </x:c>
      <x:c r="D104" s="10" t="str">
        <x:v>Phase III</x:v>
      </x:c>
      <x:c r="E104" s="56" t="n">
        <x:v>0.429</x:v>
      </x:c>
      <x:c r="F104" s="58" t="n">
        <x:v>23</x:v>
      </x:c>
      <x:c r="G104" s="10" t="str">
        <x:v>Figure 10b</x:v>
      </x:c>
      <x:c r="H104" s="10" t="str">
        <x:v>17</x:v>
      </x:c>
      <x:c r="I104" s="10" t="str">
        <x:v>Drug modality benchmark for selected novel modalities.</x:v>
      </x:c>
    </x:row>
    <x:row r="105">
      <x:c r="A105" s="10" t="str">
        <x:v>Modality|Antisense|NDA/BLA</x:v>
      </x:c>
      <x:c r="B105" s="10" t="str">
        <x:v>Modality</x:v>
      </x:c>
      <x:c r="C105" s="10" t="str">
        <x:v>Antisense</x:v>
      </x:c>
      <x:c r="D105" s="10" t="str">
        <x:v>NDA/BLA</x:v>
      </x:c>
      <x:c r="E105" s="56" t="n">
        <x:v>0.667</x:v>
      </x:c>
      <x:c r="F105" s="58" t="n">
        <x:v>9</x:v>
      </x:c>
      <x:c r="G105" s="10" t="str">
        <x:v>Figure 10b</x:v>
      </x:c>
      <x:c r="H105" s="10" t="str">
        <x:v>17</x:v>
      </x:c>
      <x:c r="I105" s="10" t="str">
        <x:v>Drug modality benchmark for selected novel modalities.</x:v>
      </x:c>
    </x:row>
    <x:row r="106">
      <x:c r="A106" s="10" t="str">
        <x:v>Drug Class/Novelty|Novel|Phase I</x:v>
      </x:c>
      <x:c r="B106" s="10" t="str">
        <x:v>Drug Class/Novelty</x:v>
      </x:c>
      <x:c r="C106" s="10" t="str">
        <x:v>Novel</x:v>
      </x:c>
      <x:c r="D106" s="10" t="str">
        <x:v>Phase I</x:v>
      </x:c>
      <x:c r="E106" s="56" t="n">
        <x:v>0.068</x:v>
      </x:c>
      <x:c r="F106" s="58" t="n">
        <x:v>10527</x:v>
      </x:c>
      <x:c r="G106" s="10" t="str">
        <x:v>Figure 9</x:v>
      </x:c>
      <x:c r="H106" s="10" t="str">
        <x:v>15</x:v>
      </x:c>
      <x:c r="I106" s="10" t="str">
        <x:v>Class and novelty benchmark. Novel includes NME, biologic, vaccine; off-patent includes non-NME and biosimilar.</x:v>
      </x:c>
    </x:row>
    <x:row r="107">
      <x:c r="A107" s="10" t="str">
        <x:v>Drug Class/Novelty|Novel|Phase II</x:v>
      </x:c>
      <x:c r="B107" s="10" t="str">
        <x:v>Drug Class/Novelty</x:v>
      </x:c>
      <x:c r="C107" s="10" t="str">
        <x:v>Novel</x:v>
      </x:c>
      <x:c r="D107" s="10" t="str">
        <x:v>Phase II</x:v>
      </x:c>
      <x:c r="E107" s="56" t="n">
        <x:v>0.132</x:v>
      </x:c>
      <x:c r="F107" s="58" t="n">
        <x:v>6594</x:v>
      </x:c>
      <x:c r="G107" s="10" t="str">
        <x:v>Figure 9</x:v>
      </x:c>
      <x:c r="H107" s="10" t="str">
        <x:v>15</x:v>
      </x:c>
      <x:c r="I107" s="10" t="str">
        <x:v>Class and novelty benchmark. Novel includes NME, biologic, vaccine; off-patent includes non-NME and biosimilar.</x:v>
      </x:c>
    </x:row>
    <x:row r="108">
      <x:c r="A108" s="10" t="str">
        <x:v>Drug Class/Novelty|Novel|Phase III</x:v>
      </x:c>
      <x:c r="B108" s="10" t="str">
        <x:v>Drug Class/Novelty</x:v>
      </x:c>
      <x:c r="C108" s="10" t="str">
        <x:v>Novel</x:v>
      </x:c>
      <x:c r="D108" s="10" t="str">
        <x:v>Phase III</x:v>
      </x:c>
      <x:c r="E108" s="56" t="n">
        <x:v>0.474</x:v>
      </x:c>
      <x:c r="F108" s="58" t="n">
        <x:v>2200</x:v>
      </x:c>
      <x:c r="G108" s="10" t="str">
        <x:v>Figure 9</x:v>
      </x:c>
      <x:c r="H108" s="10" t="str">
        <x:v>15</x:v>
      </x:c>
      <x:c r="I108" s="10" t="str">
        <x:v>Class and novelty benchmark. Novel includes NME, biologic, vaccine; off-patent includes non-NME and biosimilar.</x:v>
      </x:c>
    </x:row>
    <x:row r="109">
      <x:c r="A109" s="10" t="str">
        <x:v>Drug Class/Novelty|Novel|NDA/BLA</x:v>
      </x:c>
      <x:c r="B109" s="10" t="str">
        <x:v>Drug Class/Novelty</x:v>
      </x:c>
      <x:c r="C109" s="10" t="str">
        <x:v>Novel</x:v>
      </x:c>
      <x:c r="D109" s="10" t="str">
        <x:v>NDA/BLA</x:v>
      </x:c>
      <x:c r="E109" s="56" t="n">
        <x:v>0.896</x:v>
      </x:c>
      <x:c r="F109" s="58" t="n">
        <x:v>826</x:v>
      </x:c>
      <x:c r="G109" s="10" t="str">
        <x:v>Figure 9</x:v>
      </x:c>
      <x:c r="H109" s="10" t="str">
        <x:v>15</x:v>
      </x:c>
      <x:c r="I109" s="10" t="str">
        <x:v>Class and novelty benchmark. Novel includes NME, biologic, vaccine; off-patent includes non-NME and biosimilar.</x:v>
      </x:c>
    </x:row>
    <x:row r="110">
      <x:c r="A110" s="10" t="str">
        <x:v>Drug Class/Novelty|NME|Phase I</x:v>
      </x:c>
      <x:c r="B110" s="10" t="str">
        <x:v>Drug Class/Novelty</x:v>
      </x:c>
      <x:c r="C110" s="10" t="str">
        <x:v>NME</x:v>
      </x:c>
      <x:c r="D110" s="10" t="str">
        <x:v>Phase I</x:v>
      </x:c>
      <x:c r="E110" s="56" t="n">
        <x:v>0.057</x:v>
      </x:c>
      <x:c r="F110" s="58" t="n">
        <x:v>6803</x:v>
      </x:c>
      <x:c r="G110" s="10" t="str">
        <x:v>Figure 9</x:v>
      </x:c>
      <x:c r="H110" s="10" t="str">
        <x:v>15</x:v>
      </x:c>
      <x:c r="I110" s="10" t="str">
        <x:v>Class and novelty benchmark. Novel includes NME, biologic, vaccine; off-patent includes non-NME and biosimilar.</x:v>
      </x:c>
    </x:row>
    <x:row r="111">
      <x:c r="A111" s="10" t="str">
        <x:v>Drug Class/Novelty|NME|Phase II</x:v>
      </x:c>
      <x:c r="B111" s="10" t="str">
        <x:v>Drug Class/Novelty</x:v>
      </x:c>
      <x:c r="C111" s="10" t="str">
        <x:v>NME</x:v>
      </x:c>
      <x:c r="D111" s="10" t="str">
        <x:v>Phase II</x:v>
      </x:c>
      <x:c r="E111" s="56" t="n">
        <x:v>0.112</x:v>
      </x:c>
      <x:c r="F111" s="58" t="n">
        <x:v>4298</x:v>
      </x:c>
      <x:c r="G111" s="10" t="str">
        <x:v>Figure 9</x:v>
      </x:c>
      <x:c r="H111" s="10" t="str">
        <x:v>15</x:v>
      </x:c>
      <x:c r="I111" s="10" t="str">
        <x:v>Class and novelty benchmark. Novel includes NME, biologic, vaccine; off-patent includes non-NME and biosimilar.</x:v>
      </x:c>
    </x:row>
    <x:row r="112">
      <x:c r="A112" s="10" t="str">
        <x:v>Drug Class/Novelty|NME|Phase III</x:v>
      </x:c>
      <x:c r="B112" s="10" t="str">
        <x:v>Drug Class/Novelty</x:v>
      </x:c>
      <x:c r="C112" s="10" t="str">
        <x:v>NME</x:v>
      </x:c>
      <x:c r="D112" s="10" t="str">
        <x:v>Phase III</x:v>
      </x:c>
      <x:c r="E112" s="56" t="n">
        <x:v>0.436</x:v>
      </x:c>
      <x:c r="F112" s="58" t="n">
        <x:v>1374</x:v>
      </x:c>
      <x:c r="G112" s="10" t="str">
        <x:v>Figure 9</x:v>
      </x:c>
      <x:c r="H112" s="10" t="str">
        <x:v>15</x:v>
      </x:c>
      <x:c r="I112" s="10" t="str">
        <x:v>Class and novelty benchmark. Novel includes NME, biologic, vaccine; off-patent includes non-NME and biosimilar.</x:v>
      </x:c>
    </x:row>
    <x:row r="113">
      <x:c r="A113" s="10" t="str">
        <x:v>Drug Class/Novelty|NME|NDA/BLA</x:v>
      </x:c>
      <x:c r="B113" s="10" t="str">
        <x:v>Drug Class/Novelty</x:v>
      </x:c>
      <x:c r="C113" s="10" t="str">
        <x:v>NME</x:v>
      </x:c>
      <x:c r="D113" s="10" t="str">
        <x:v>NDA/BLA</x:v>
      </x:c>
      <x:c r="E113" s="56" t="n">
        <x:v>0.861</x:v>
      </x:c>
      <x:c r="F113" s="58" t="n">
        <x:v>505</x:v>
      </x:c>
      <x:c r="G113" s="10" t="str">
        <x:v>Figure 9</x:v>
      </x:c>
      <x:c r="H113" s="10" t="str">
        <x:v>15</x:v>
      </x:c>
      <x:c r="I113" s="10" t="str">
        <x:v>Class and novelty benchmark. Novel includes NME, biologic, vaccine; off-patent includes non-NME and biosimilar.</x:v>
      </x:c>
    </x:row>
    <x:row r="114">
      <x:c r="A114" s="10" t="str">
        <x:v>Drug Class/Novelty|Biologic|Phase I</x:v>
      </x:c>
      <x:c r="B114" s="10" t="str">
        <x:v>Drug Class/Novelty</x:v>
      </x:c>
      <x:c r="C114" s="10" t="str">
        <x:v>Biologic</x:v>
      </x:c>
      <x:c r="D114" s="10" t="str">
        <x:v>Phase I</x:v>
      </x:c>
      <x:c r="E114" s="56" t="n">
        <x:v>0.091</x:v>
      </x:c>
      <x:c r="F114" s="58" t="n">
        <x:v>3412</x:v>
      </x:c>
      <x:c r="G114" s="10" t="str">
        <x:v>Figure 9</x:v>
      </x:c>
      <x:c r="H114" s="10" t="str">
        <x:v>15</x:v>
      </x:c>
      <x:c r="I114" s="10" t="str">
        <x:v>Class and novelty benchmark. Novel includes NME, biologic, vaccine; off-patent includes non-NME and biosimilar.</x:v>
      </x:c>
    </x:row>
    <x:row r="115">
      <x:c r="A115" s="10" t="str">
        <x:v>Drug Class/Novelty|Biologic|Phase II</x:v>
      </x:c>
      <x:c r="B115" s="10" t="str">
        <x:v>Drug Class/Novelty</x:v>
      </x:c>
      <x:c r="C115" s="10" t="str">
        <x:v>Biologic</x:v>
      </x:c>
      <x:c r="D115" s="10" t="str">
        <x:v>Phase II</x:v>
      </x:c>
      <x:c r="E115" s="56" t="n">
        <x:v>0.174</x:v>
      </x:c>
      <x:c r="F115" s="58" t="n">
        <x:v>2111</x:v>
      </x:c>
      <x:c r="G115" s="10" t="str">
        <x:v>Figure 9</x:v>
      </x:c>
      <x:c r="H115" s="10" t="str">
        <x:v>15</x:v>
      </x:c>
      <x:c r="I115" s="10" t="str">
        <x:v>Class and novelty benchmark. Novel includes NME, biologic, vaccine; off-patent includes non-NME and biosimilar.</x:v>
      </x:c>
    </x:row>
    <x:row r="116">
      <x:c r="A116" s="10" t="str">
        <x:v>Drug Class/Novelty|Biologic|Phase III</x:v>
      </x:c>
      <x:c r="B116" s="10" t="str">
        <x:v>Drug Class/Novelty</x:v>
      </x:c>
      <x:c r="C116" s="10" t="str">
        <x:v>Biologic</x:v>
      </x:c>
      <x:c r="D116" s="10" t="str">
        <x:v>Phase III</x:v>
      </x:c>
      <x:c r="E116" s="56" t="n">
        <x:v>0.536</x:v>
      </x:c>
      <x:c r="F116" s="58" t="n">
        <x:v>756</x:v>
      </x:c>
      <x:c r="G116" s="10" t="str">
        <x:v>Figure 9</x:v>
      </x:c>
      <x:c r="H116" s="10" t="str">
        <x:v>15</x:v>
      </x:c>
      <x:c r="I116" s="10" t="str">
        <x:v>Class and novelty benchmark. Novel includes NME, biologic, vaccine; off-patent includes non-NME and biosimilar.</x:v>
      </x:c>
    </x:row>
    <x:row r="117">
      <x:c r="A117" s="10" t="str">
        <x:v>Drug Class/Novelty|Biologic|NDA/BLA</x:v>
      </x:c>
      <x:c r="B117" s="10" t="str">
        <x:v>Drug Class/Novelty</x:v>
      </x:c>
      <x:c r="C117" s="10" t="str">
        <x:v>Biologic</x:v>
      </x:c>
      <x:c r="D117" s="10" t="str">
        <x:v>NDA/BLA</x:v>
      </x:c>
      <x:c r="E117" s="56" t="n">
        <x:v>0.946</x:v>
      </x:c>
      <x:c r="F117" s="58" t="n">
        <x:v>294</x:v>
      </x:c>
      <x:c r="G117" s="10" t="str">
        <x:v>Figure 9</x:v>
      </x:c>
      <x:c r="H117" s="10" t="str">
        <x:v>15</x:v>
      </x:c>
      <x:c r="I117" s="10" t="str">
        <x:v>Class and novelty benchmark. Novel includes NME, biologic, vaccine; off-patent includes non-NME and biosimilar.</x:v>
      </x:c>
    </x:row>
    <x:row r="118">
      <x:c r="A118" s="10" t="str">
        <x:v>Drug Class/Novelty|Vaccine|Phase I</x:v>
      </x:c>
      <x:c r="B118" s="10" t="str">
        <x:v>Drug Class/Novelty</x:v>
      </x:c>
      <x:c r="C118" s="10" t="str">
        <x:v>Vaccine</x:v>
      </x:c>
      <x:c r="D118" s="10" t="str">
        <x:v>Phase I</x:v>
      </x:c>
      <x:c r="E118" s="56" t="n">
        <x:v>0.097</x:v>
      </x:c>
      <x:c r="F118" s="58" t="n">
        <x:v>312</x:v>
      </x:c>
      <x:c r="G118" s="10" t="str">
        <x:v>Figure 9</x:v>
      </x:c>
      <x:c r="H118" s="10" t="str">
        <x:v>15</x:v>
      </x:c>
      <x:c r="I118" s="10" t="str">
        <x:v>Class and novelty benchmark. Novel includes NME, biologic, vaccine; off-patent includes non-NME and biosimilar.</x:v>
      </x:c>
    </x:row>
    <x:row r="119">
      <x:c r="A119" s="10" t="str">
        <x:v>Drug Class/Novelty|Vaccine|Phase II</x:v>
      </x:c>
      <x:c r="B119" s="10" t="str">
        <x:v>Drug Class/Novelty</x:v>
      </x:c>
      <x:c r="C119" s="10" t="str">
        <x:v>Vaccine</x:v>
      </x:c>
      <x:c r="D119" s="10" t="str">
        <x:v>Phase II</x:v>
      </x:c>
      <x:c r="E119" s="56" t="n">
        <x:v>0.187</x:v>
      </x:c>
      <x:c r="F119" s="58" t="n">
        <x:v>185</x:v>
      </x:c>
      <x:c r="G119" s="10" t="str">
        <x:v>Figure 9</x:v>
      </x:c>
      <x:c r="H119" s="10" t="str">
        <x:v>15</x:v>
      </x:c>
      <x:c r="I119" s="10" t="str">
        <x:v>Class and novelty benchmark. Novel includes NME, biologic, vaccine; off-patent includes non-NME and biosimilar.</x:v>
      </x:c>
    </x:row>
    <x:row r="120">
      <x:c r="A120" s="10" t="str">
        <x:v>Drug Class/Novelty|Vaccine|Phase III</x:v>
      </x:c>
      <x:c r="B120" s="10" t="str">
        <x:v>Drug Class/Novelty</x:v>
      </x:c>
      <x:c r="C120" s="10" t="str">
        <x:v>Vaccine</x:v>
      </x:c>
      <x:c r="D120" s="10" t="str">
        <x:v>Phase III</x:v>
      </x:c>
      <x:c r="E120" s="56" t="n">
        <x:v>0.581</x:v>
      </x:c>
      <x:c r="F120" s="58" t="n">
        <x:v>70</x:v>
      </x:c>
      <x:c r="G120" s="10" t="str">
        <x:v>Figure 9</x:v>
      </x:c>
      <x:c r="H120" s="10" t="str">
        <x:v>15</x:v>
      </x:c>
      <x:c r="I120" s="10" t="str">
        <x:v>Class and novelty benchmark. Novel includes NME, biologic, vaccine; off-patent includes non-NME and biosimilar.</x:v>
      </x:c>
    </x:row>
    <x:row r="121">
      <x:c r="A121" s="10" t="str">
        <x:v>Drug Class/Novelty|Vaccine|NDA/BLA</x:v>
      </x:c>
      <x:c r="B121" s="10" t="str">
        <x:v>Drug Class/Novelty</x:v>
      </x:c>
      <x:c r="C121" s="10" t="str">
        <x:v>Vaccine</x:v>
      </x:c>
      <x:c r="D121" s="10" t="str">
        <x:v>NDA/BLA</x:v>
      </x:c>
      <x:c r="E121" s="56" t="n">
        <x:v>1</x:v>
      </x:c>
      <x:c r="F121" s="58" t="n">
        <x:v>27</x:v>
      </x:c>
      <x:c r="G121" s="10" t="str">
        <x:v>Figure 9</x:v>
      </x:c>
      <x:c r="H121" s="10" t="str">
        <x:v>15</x:v>
      </x:c>
      <x:c r="I121" s="10" t="str">
        <x:v>Class and novelty benchmark. Novel includes NME, biologic, vaccine; off-patent includes non-NME and biosimilar.</x:v>
      </x:c>
    </x:row>
    <x:row r="122">
      <x:c r="A122" s="10" t="str">
        <x:v>Drug Class/Novelty|Off-Patent|Phase I</x:v>
      </x:c>
      <x:c r="B122" s="10" t="str">
        <x:v>Drug Class/Novelty</x:v>
      </x:c>
      <x:c r="C122" s="10" t="str">
        <x:v>Off-Patent</x:v>
      </x:c>
      <x:c r="D122" s="10" t="str">
        <x:v>Phase I</x:v>
      </x:c>
      <x:c r="E122" s="56" t="n">
        <x:v>0.147</x:v>
      </x:c>
      <x:c r="F122" s="58" t="n">
        <x:v>2161</x:v>
      </x:c>
      <x:c r="G122" s="10" t="str">
        <x:v>Figure 9</x:v>
      </x:c>
      <x:c r="H122" s="10" t="str">
        <x:v>15</x:v>
      </x:c>
      <x:c r="I122" s="10" t="str">
        <x:v>Class and novelty benchmark. Novel includes NME, biologic, vaccine; off-patent includes non-NME and biosimilar.</x:v>
      </x:c>
    </x:row>
    <x:row r="123">
      <x:c r="A123" s="10" t="str">
        <x:v>Drug Class/Novelty|Off-Patent|Phase II</x:v>
      </x:c>
      <x:c r="B123" s="10" t="str">
        <x:v>Drug Class/Novelty</x:v>
      </x:c>
      <x:c r="C123" s="10" t="str">
        <x:v>Off-Patent</x:v>
      </x:c>
      <x:c r="D123" s="10" t="str">
        <x:v>Phase II</x:v>
      </x:c>
      <x:c r="E123" s="56" t="n">
        <x:v>0.243</x:v>
      </x:c>
      <x:c r="F123" s="58" t="n">
        <x:v>1706</x:v>
      </x:c>
      <x:c r="G123" s="10" t="str">
        <x:v>Figure 9</x:v>
      </x:c>
      <x:c r="H123" s="10" t="str">
        <x:v>15</x:v>
      </x:c>
      <x:c r="I123" s="10" t="str">
        <x:v>Class and novelty benchmark. Novel includes NME, biologic, vaccine; off-patent includes non-NME and biosimilar.</x:v>
      </x:c>
    </x:row>
    <x:row r="124">
      <x:c r="A124" s="10" t="str">
        <x:v>Drug Class/Novelty|Off-Patent|Phase III</x:v>
      </x:c>
      <x:c r="B124" s="10" t="str">
        <x:v>Drug Class/Novelty</x:v>
      </x:c>
      <x:c r="C124" s="10" t="str">
        <x:v>Off-Patent</x:v>
      </x:c>
      <x:c r="D124" s="10" t="str">
        <x:v>Phase III</x:v>
      </x:c>
      <x:c r="E124" s="56" t="n">
        <x:v>0.646</x:v>
      </x:c>
      <x:c r="F124" s="58" t="n">
        <x:v>1179</x:v>
      </x:c>
      <x:c r="G124" s="10" t="str">
        <x:v>Figure 9</x:v>
      </x:c>
      <x:c r="H124" s="10" t="str">
        <x:v>15</x:v>
      </x:c>
      <x:c r="I124" s="10" t="str">
        <x:v>Class and novelty benchmark. Novel includes NME, biologic, vaccine; off-patent includes non-NME and biosimilar.</x:v>
      </x:c>
    </x:row>
    <x:row r="125">
      <x:c r="A125" s="10" t="str">
        <x:v>Drug Class/Novelty|Off-Patent|NDA/BLA</x:v>
      </x:c>
      <x:c r="B125" s="10" t="str">
        <x:v>Drug Class/Novelty</x:v>
      </x:c>
      <x:c r="C125" s="10" t="str">
        <x:v>Off-Patent</x:v>
      </x:c>
      <x:c r="D125" s="10" t="str">
        <x:v>NDA/BLA</x:v>
      </x:c>
      <x:c r="E125" s="56" t="n">
        <x:v>0.919</x:v>
      </x:c>
      <x:c r="F125" s="58" t="n">
        <x:v>627</x:v>
      </x:c>
      <x:c r="G125" s="10" t="str">
        <x:v>Figure 9</x:v>
      </x:c>
      <x:c r="H125" s="10" t="str">
        <x:v>15</x:v>
      </x:c>
      <x:c r="I125" s="10" t="str">
        <x:v>Class and novelty benchmark. Novel includes NME, biologic, vaccine; off-patent includes non-NME and biosimilar.</x:v>
      </x:c>
    </x:row>
    <x:row r="126">
      <x:c r="A126" s="10" t="str">
        <x:v>Drug Class/Novelty|Non-NME|Phase I</x:v>
      </x:c>
      <x:c r="B126" s="10" t="str">
        <x:v>Drug Class/Novelty</x:v>
      </x:c>
      <x:c r="C126" s="10" t="str">
        <x:v>Non-NME</x:v>
      </x:c>
      <x:c r="D126" s="10" t="str">
        <x:v>Phase I</x:v>
      </x:c>
      <x:c r="E126" s="56" t="n">
        <x:v>0.133</x:v>
      </x:c>
      <x:c r="F126" s="58" t="n">
        <x:v>1884</x:v>
      </x:c>
      <x:c r="G126" s="10" t="str">
        <x:v>Figure 9</x:v>
      </x:c>
      <x:c r="H126" s="10" t="str">
        <x:v>15</x:v>
      </x:c>
      <x:c r="I126" s="10" t="str">
        <x:v>Class and novelty benchmark. Novel includes NME, biologic, vaccine; off-patent includes non-NME and biosimilar.</x:v>
      </x:c>
    </x:row>
    <x:row r="127">
      <x:c r="A127" s="10" t="str">
        <x:v>Drug Class/Novelty|Non-NME|Phase II</x:v>
      </x:c>
      <x:c r="B127" s="10" t="str">
        <x:v>Drug Class/Novelty</x:v>
      </x:c>
      <x:c r="C127" s="10" t="str">
        <x:v>Non-NME</x:v>
      </x:c>
      <x:c r="D127" s="10" t="str">
        <x:v>Phase II</x:v>
      </x:c>
      <x:c r="E127" s="56" t="n">
        <x:v>0.232</x:v>
      </x:c>
      <x:c r="F127" s="58" t="n">
        <x:v>1489</x:v>
      </x:c>
      <x:c r="G127" s="10" t="str">
        <x:v>Figure 9</x:v>
      </x:c>
      <x:c r="H127" s="10" t="str">
        <x:v>15</x:v>
      </x:c>
      <x:c r="I127" s="10" t="str">
        <x:v>Class and novelty benchmark. Novel includes NME, biologic, vaccine; off-patent includes non-NME and biosimilar.</x:v>
      </x:c>
    </x:row>
    <x:row r="128">
      <x:c r="A128" s="10" t="str">
        <x:v>Drug Class/Novelty|Non-NME|Phase III</x:v>
      </x:c>
      <x:c r="B128" s="10" t="str">
        <x:v>Drug Class/Novelty</x:v>
      </x:c>
      <x:c r="C128" s="10" t="str">
        <x:v>Non-NME</x:v>
      </x:c>
      <x:c r="D128" s="10" t="str">
        <x:v>Phase III</x:v>
      </x:c>
      <x:c r="E128" s="56" t="n">
        <x:v>0.618</x:v>
      </x:c>
      <x:c r="F128" s="58" t="n">
        <x:v>966</x:v>
      </x:c>
      <x:c r="G128" s="10" t="str">
        <x:v>Figure 9</x:v>
      </x:c>
      <x:c r="H128" s="10" t="str">
        <x:v>15</x:v>
      </x:c>
      <x:c r="I128" s="10" t="str">
        <x:v>Class and novelty benchmark. Novel includes NME, biologic, vaccine; off-patent includes non-NME and biosimilar.</x:v>
      </x:c>
    </x:row>
    <x:row r="129">
      <x:c r="A129" s="10" t="str">
        <x:v>Drug Class/Novelty|Non-NME|NDA/BLA</x:v>
      </x:c>
      <x:c r="B129" s="10" t="str">
        <x:v>Drug Class/Novelty</x:v>
      </x:c>
      <x:c r="C129" s="10" t="str">
        <x:v>Non-NME</x:v>
      </x:c>
      <x:c r="D129" s="10" t="str">
        <x:v>NDA/BLA</x:v>
      </x:c>
      <x:c r="E129" s="56" t="n">
        <x:v>0.915</x:v>
      </x:c>
      <x:c r="F129" s="58" t="n">
        <x:v>495</x:v>
      </x:c>
      <x:c r="G129" s="10" t="str">
        <x:v>Figure 9</x:v>
      </x:c>
      <x:c r="H129" s="10" t="str">
        <x:v>15</x:v>
      </x:c>
      <x:c r="I129" s="10" t="str">
        <x:v>Class and novelty benchmark. Novel includes NME, biologic, vaccine; off-patent includes non-NME and biosimilar.</x:v>
      </x:c>
    </x:row>
    <x:row r="130">
      <x:c r="A130" s="10" t="str">
        <x:v>Drug Class/Novelty|Biosimilar|Phase I</x:v>
      </x:c>
      <x:c r="B130" s="10" t="str">
        <x:v>Drug Class/Novelty</x:v>
      </x:c>
      <x:c r="C130" s="10" t="str">
        <x:v>Biosimilar</x:v>
      </x:c>
      <x:c r="D130" s="10" t="str">
        <x:v>Phase I</x:v>
      </x:c>
      <x:c r="E130" s="56" t="n">
        <x:v>0.322</x:v>
      </x:c>
      <x:c r="F130" s="58" t="n">
        <x:v>277</x:v>
      </x:c>
      <x:c r="G130" s="10" t="str">
        <x:v>Figure 9</x:v>
      </x:c>
      <x:c r="H130" s="10" t="str">
        <x:v>15</x:v>
      </x:c>
      <x:c r="I130" s="10" t="str">
        <x:v>Class and novelty benchmark. Novel includes NME, biologic, vaccine; off-patent includes non-NME and biosimilar.</x:v>
      </x:c>
    </x:row>
    <x:row r="131">
      <x:c r="A131" s="10" t="str">
        <x:v>Drug Class/Novelty|Biosimilar|Phase II</x:v>
      </x:c>
      <x:c r="B131" s="10" t="str">
        <x:v>Drug Class/Novelty</x:v>
      </x:c>
      <x:c r="C131" s="10" t="str">
        <x:v>Biosimilar</x:v>
      </x:c>
      <x:c r="D131" s="10" t="str">
        <x:v>Phase II</x:v>
      </x:c>
      <x:c r="E131" s="56" t="n">
        <x:v>0.403</x:v>
      </x:c>
      <x:c r="F131" s="58" t="n">
        <x:v>217</x:v>
      </x:c>
      <x:c r="G131" s="10" t="str">
        <x:v>Figure 9</x:v>
      </x:c>
      <x:c r="H131" s="10" t="str">
        <x:v>15</x:v>
      </x:c>
      <x:c r="I131" s="10" t="str">
        <x:v>Class and novelty benchmark. Novel includes NME, biologic, vaccine; off-patent includes non-NME and biosimilar.</x:v>
      </x:c>
    </x:row>
    <x:row r="132">
      <x:c r="A132" s="10" t="str">
        <x:v>Drug Class/Novelty|Biosimilar|Phase III</x:v>
      </x:c>
      <x:c r="B132" s="10" t="str">
        <x:v>Drug Class/Novelty</x:v>
      </x:c>
      <x:c r="C132" s="10" t="str">
        <x:v>Biosimilar</x:v>
      </x:c>
      <x:c r="D132" s="10" t="str">
        <x:v>Phase III</x:v>
      </x:c>
      <x:c r="E132" s="56" t="n">
        <x:v>0.805</x:v>
      </x:c>
      <x:c r="F132" s="58" t="n">
        <x:v>213</x:v>
      </x:c>
      <x:c r="G132" s="10" t="str">
        <x:v>Figure 9</x:v>
      </x:c>
      <x:c r="H132" s="10" t="str">
        <x:v>15</x:v>
      </x:c>
      <x:c r="I132" s="10" t="str">
        <x:v>Class and novelty benchmark. Novel includes NME, biologic, vaccine; off-patent includes non-NME and biosimilar.</x:v>
      </x:c>
    </x:row>
    <x:row r="133">
      <x:c r="A133" s="10" t="str">
        <x:v>Drug Class/Novelty|Biosimilar|NDA/BLA</x:v>
      </x:c>
      <x:c r="B133" s="10" t="str">
        <x:v>Drug Class/Novelty</x:v>
      </x:c>
      <x:c r="C133" s="10" t="str">
        <x:v>Biosimilar</x:v>
      </x:c>
      <x:c r="D133" s="10" t="str">
        <x:v>NDA/BLA</x:v>
      </x:c>
      <x:c r="E133" s="56" t="n">
        <x:v>0.932</x:v>
      </x:c>
      <x:c r="F133" s="58" t="n">
        <x:v>132</x:v>
      </x:c>
      <x:c r="G133" s="10" t="str">
        <x:v>Figure 9</x:v>
      </x:c>
      <x:c r="H133" s="10" t="str">
        <x:v>15</x:v>
      </x:c>
      <x:c r="I133" s="10" t="str">
        <x:v>Class and novelty benchmark. Novel includes NME, biologic, vaccine; off-patent includes non-NME and biosimilar.</x:v>
      </x:c>
    </x:row>
    <x:row r="134">
      <x:c r="A134" s="10" t="str">
        <x:v>Oncology vs Non-oncology|Oncology|Phase I</x:v>
      </x:c>
      <x:c r="B134" s="10" t="str">
        <x:v>Oncology vs Non-oncology</x:v>
      </x:c>
      <x:c r="C134" s="10" t="str">
        <x:v>Oncology</x:v>
      </x:c>
      <x:c r="D134" s="10" t="str">
        <x:v>Phase I</x:v>
      </x:c>
      <x:c r="E134" s="56" t="n">
        <x:v>0.053</x:v>
      </x:c>
      <x:c r="F134" s="58" t="n">
        <x:v>4179</x:v>
      </x:c>
      <x:c r="G134" s="10" t="str">
        <x:v>Figure 6</x:v>
      </x:c>
      <x:c r="H134" s="10" t="str">
        <x:v>12</x:v>
      </x:c>
      <x:c r="I134" s="10" t="str">
        <x:v>Oncology and non-oncology benchmark.</x:v>
      </x:c>
    </x:row>
    <x:row r="135">
      <x:c r="A135" s="10" t="str">
        <x:v>Oncology vs Non-oncology|Oncology|Phase II</x:v>
      </x:c>
      <x:c r="B135" s="10" t="str">
        <x:v>Oncology vs Non-oncology</x:v>
      </x:c>
      <x:c r="C135" s="10" t="str">
        <x:v>Oncology</x:v>
      </x:c>
      <x:c r="D135" s="10" t="str">
        <x:v>Phase II</x:v>
      </x:c>
      <x:c r="E135" s="56" t="n">
        <x:v>0.108</x:v>
      </x:c>
      <x:c r="F135" s="58" t="n">
        <x:v>2551</x:v>
      </x:c>
      <x:c r="G135" s="10" t="str">
        <x:v>Figure 6</x:v>
      </x:c>
      <x:c r="H135" s="10" t="str">
        <x:v>12</x:v>
      </x:c>
      <x:c r="I135" s="10" t="str">
        <x:v>Oncology and non-oncology benchmark.</x:v>
      </x:c>
    </x:row>
    <x:row r="136">
      <x:c r="A136" s="10" t="str">
        <x:v>Oncology vs Non-oncology|Oncology|Phase III</x:v>
      </x:c>
      <x:c r="B136" s="10" t="str">
        <x:v>Oncology vs Non-oncology</x:v>
      </x:c>
      <x:c r="C136" s="10" t="str">
        <x:v>Oncology</x:v>
      </x:c>
      <x:c r="D136" s="10" t="str">
        <x:v>Phase III</x:v>
      </x:c>
      <x:c r="E136" s="56" t="n">
        <x:v>0.439</x:v>
      </x:c>
      <x:c r="F136" s="58" t="n">
        <x:v>819</x:v>
      </x:c>
      <x:c r="G136" s="10" t="str">
        <x:v>Figure 6</x:v>
      </x:c>
      <x:c r="H136" s="10" t="str">
        <x:v>12</x:v>
      </x:c>
      <x:c r="I136" s="10" t="str">
        <x:v>Oncology and non-oncology benchmark.</x:v>
      </x:c>
    </x:row>
    <x:row r="137">
      <x:c r="A137" s="10" t="str">
        <x:v>Oncology vs Non-oncology|Oncology|NDA/BLA</x:v>
      </x:c>
      <x:c r="B137" s="10" t="str">
        <x:v>Oncology vs Non-oncology</x:v>
      </x:c>
      <x:c r="C137" s="10" t="str">
        <x:v>Oncology</x:v>
      </x:c>
      <x:c r="D137" s="10" t="str">
        <x:v>NDA/BLA</x:v>
      </x:c>
      <x:c r="E137" s="56" t="n">
        <x:v>0.92</x:v>
      </x:c>
      <x:c r="F137" s="58" t="n">
        <x:v>324</x:v>
      </x:c>
      <x:c r="G137" s="10" t="str">
        <x:v>Figure 6</x:v>
      </x:c>
      <x:c r="H137" s="10" t="str">
        <x:v>12</x:v>
      </x:c>
      <x:c r="I137" s="10" t="str">
        <x:v>Oncology and non-oncology benchmark.</x:v>
      </x:c>
    </x:row>
    <x:row r="138">
      <x:c r="A138" s="10" t="str">
        <x:v>Oncology vs Non-oncology|Non-oncology|Phase I</x:v>
      </x:c>
      <x:c r="B138" s="10" t="str">
        <x:v>Oncology vs Non-oncology</x:v>
      </x:c>
      <x:c r="C138" s="10" t="str">
        <x:v>Non-oncology</x:v>
      </x:c>
      <x:c r="D138" s="10" t="str">
        <x:v>Phase I</x:v>
      </x:c>
      <x:c r="E138" s="56" t="n">
        <x:v>0.093</x:v>
      </x:c>
      <x:c r="F138" s="58" t="n">
        <x:v>8549</x:v>
      </x:c>
      <x:c r="G138" s="10" t="str">
        <x:v>Figure 6</x:v>
      </x:c>
      <x:c r="H138" s="10" t="str">
        <x:v>12</x:v>
      </x:c>
      <x:c r="I138" s="10" t="str">
        <x:v>Oncology and non-oncology benchmark.</x:v>
      </x:c>
    </x:row>
    <x:row r="139">
      <x:c r="A139" s="10" t="str">
        <x:v>Oncology vs Non-oncology|Non-oncology|Phase II</x:v>
      </x:c>
      <x:c r="B139" s="10" t="str">
        <x:v>Oncology vs Non-oncology</x:v>
      </x:c>
      <x:c r="C139" s="10" t="str">
        <x:v>Non-oncology</x:v>
      </x:c>
      <x:c r="D139" s="10" t="str">
        <x:v>Phase II</x:v>
      </x:c>
      <x:c r="E139" s="56" t="n">
        <x:v>0.172</x:v>
      </x:c>
      <x:c r="F139" s="58" t="n">
        <x:v>5763</x:v>
      </x:c>
      <x:c r="G139" s="10" t="str">
        <x:v>Figure 6</x:v>
      </x:c>
      <x:c r="H139" s="10" t="str">
        <x:v>12</x:v>
      </x:c>
      <x:c r="I139" s="10" t="str">
        <x:v>Oncology and non-oncology benchmark.</x:v>
      </x:c>
    </x:row>
    <x:row r="140">
      <x:c r="A140" s="10" t="str">
        <x:v>Oncology vs Non-oncology|Non-oncology|Phase III</x:v>
      </x:c>
      <x:c r="B140" s="10" t="str">
        <x:v>Oncology vs Non-oncology</x:v>
      </x:c>
      <x:c r="C140" s="10" t="str">
        <x:v>Non-oncology</x:v>
      </x:c>
      <x:c r="D140" s="10" t="str">
        <x:v>Phase III</x:v>
      </x:c>
      <x:c r="E140" s="56" t="n">
        <x:v>0.553</x:v>
      </x:c>
      <x:c r="F140" s="58" t="n">
        <x:v>2562</x:v>
      </x:c>
      <x:c r="G140" s="10" t="str">
        <x:v>Figure 6</x:v>
      </x:c>
      <x:c r="H140" s="10" t="str">
        <x:v>12</x:v>
      </x:c>
      <x:c r="I140" s="10" t="str">
        <x:v>Oncology and non-oncology benchmark.</x:v>
      </x:c>
    </x:row>
    <x:row r="141">
      <x:c r="A141" s="10" t="str">
        <x:v>Oncology vs Non-oncology|Non-oncology|NDA/BLA</x:v>
      </x:c>
      <x:c r="B141" s="10" t="str">
        <x:v>Oncology vs Non-oncology</x:v>
      </x:c>
      <x:c r="C141" s="10" t="str">
        <x:v>Non-oncology</x:v>
      </x:c>
      <x:c r="D141" s="10" t="str">
        <x:v>NDA/BLA</x:v>
      </x:c>
      <x:c r="E141" s="56" t="n">
        <x:v>0.902</x:v>
      </x:c>
      <x:c r="F141" s="58" t="n">
        <x:v>1129</x:v>
      </x:c>
      <x:c r="G141" s="10" t="str">
        <x:v>Figure 6</x:v>
      </x:c>
      <x:c r="H141" s="10" t="str">
        <x:v>12</x:v>
      </x:c>
      <x:c r="I141" s="10" t="str">
        <x:v>Oncology and non-oncology benchmark.</x:v>
      </x:c>
    </x:row>
    <x:row r="142">
      <x:c r="A142" s="10" t="str">
        <x:v>Oncology Subcategory|Hematologic|Phase I</x:v>
      </x:c>
      <x:c r="B142" s="10" t="str">
        <x:v>Oncology Subcategory</x:v>
      </x:c>
      <x:c r="C142" s="10" t="str">
        <x:v>Hematologic</x:v>
      </x:c>
      <x:c r="D142" s="10" t="str">
        <x:v>Phase I</x:v>
      </x:c>
      <x:c r="E142" s="56" t="n">
        <x:v>0.075</x:v>
      </x:c>
      <x:c r="F142" s="58" t="n">
        <x:v>1094</x:v>
      </x:c>
      <x:c r="G142" s="10" t="str">
        <x:v>Figure 7</x:v>
      </x:c>
      <x:c r="H142" s="10" t="str">
        <x:v>13</x:v>
      </x:c>
      <x:c r="I142" s="10" t="str">
        <x:v>Hematologic and solid tumor groups are mutually exclusive; IO spans both categories.</x:v>
      </x:c>
    </x:row>
    <x:row r="143">
      <x:c r="A143" s="10" t="str">
        <x:v>Oncology Subcategory|Hematologic|Phase II</x:v>
      </x:c>
      <x:c r="B143" s="10" t="str">
        <x:v>Oncology Subcategory</x:v>
      </x:c>
      <x:c r="C143" s="10" t="str">
        <x:v>Hematologic</x:v>
      </x:c>
      <x:c r="D143" s="10" t="str">
        <x:v>Phase II</x:v>
      </x:c>
      <x:c r="E143" s="56" t="n">
        <x:v>0.15</x:v>
      </x:c>
      <x:c r="F143" s="58" t="n">
        <x:v>669</x:v>
      </x:c>
      <x:c r="G143" s="10" t="str">
        <x:v>Figure 7</x:v>
      </x:c>
      <x:c r="H143" s="10" t="str">
        <x:v>13</x:v>
      </x:c>
      <x:c r="I143" s="10" t="str">
        <x:v>Hematologic and solid tumor groups are mutually exclusive; IO spans both categories.</x:v>
      </x:c>
    </x:row>
    <x:row r="144">
      <x:c r="A144" s="10" t="str">
        <x:v>Oncology Subcategory|Hematologic|Phase III</x:v>
      </x:c>
      <x:c r="B144" s="10" t="str">
        <x:v>Oncology Subcategory</x:v>
      </x:c>
      <x:c r="C144" s="10" t="str">
        <x:v>Hematologic</x:v>
      </x:c>
      <x:c r="D144" s="10" t="str">
        <x:v>Phase III</x:v>
      </x:c>
      <x:c r="E144" s="56" t="n">
        <x:v>0.54</x:v>
      </x:c>
      <x:c r="F144" s="58" t="n">
        <x:v>220</x:v>
      </x:c>
      <x:c r="G144" s="10" t="str">
        <x:v>Figure 7</x:v>
      </x:c>
      <x:c r="H144" s="10" t="str">
        <x:v>13</x:v>
      </x:c>
      <x:c r="I144" s="10" t="str">
        <x:v>Hematologic and solid tumor groups are mutually exclusive; IO spans both categories.</x:v>
      </x:c>
    </x:row>
    <x:row r="145">
      <x:c r="A145" s="10" t="str">
        <x:v>Oncology Subcategory|Hematologic|NDA/BLA</x:v>
      </x:c>
      <x:c r="B145" s="10" t="str">
        <x:v>Oncology Subcategory</x:v>
      </x:c>
      <x:c r="C145" s="10" t="str">
        <x:v>Hematologic</x:v>
      </x:c>
      <x:c r="D145" s="10" t="str">
        <x:v>NDA/BLA</x:v>
      </x:c>
      <x:c r="E145" s="56" t="n">
        <x:v>0.9</x:v>
      </x:c>
      <x:c r="F145" s="58" t="n">
        <x:v>100</x:v>
      </x:c>
      <x:c r="G145" s="10" t="str">
        <x:v>Figure 7</x:v>
      </x:c>
      <x:c r="H145" s="10" t="str">
        <x:v>13</x:v>
      </x:c>
      <x:c r="I145" s="10" t="str">
        <x:v>Hematologic and solid tumor groups are mutually exclusive; IO spans both categories.</x:v>
      </x:c>
    </x:row>
    <x:row r="146">
      <x:c r="A146" s="10" t="str">
        <x:v>Oncology Subcategory|Solid|Phase I</x:v>
      </x:c>
      <x:c r="B146" s="10" t="str">
        <x:v>Oncology Subcategory</x:v>
      </x:c>
      <x:c r="C146" s="10" t="str">
        <x:v>Solid</x:v>
      </x:c>
      <x:c r="D146" s="10" t="str">
        <x:v>Phase I</x:v>
      </x:c>
      <x:c r="E146" s="56" t="n">
        <x:v>0.046</x:v>
      </x:c>
      <x:c r="F146" s="58" t="n">
        <x:v>2982</x:v>
      </x:c>
      <x:c r="G146" s="10" t="str">
        <x:v>Figure 7</x:v>
      </x:c>
      <x:c r="H146" s="10" t="str">
        <x:v>13</x:v>
      </x:c>
      <x:c r="I146" s="10" t="str">
        <x:v>Hematologic and solid tumor groups are mutually exclusive; IO spans both categories.</x:v>
      </x:c>
    </x:row>
    <x:row r="147">
      <x:c r="A147" s="10" t="str">
        <x:v>Oncology Subcategory|Solid|Phase II</x:v>
      </x:c>
      <x:c r="B147" s="10" t="str">
        <x:v>Oncology Subcategory</x:v>
      </x:c>
      <x:c r="C147" s="10" t="str">
        <x:v>Solid</x:v>
      </x:c>
      <x:c r="D147" s="10" t="str">
        <x:v>Phase II</x:v>
      </x:c>
      <x:c r="E147" s="56" t="n">
        <x:v>0.093</x:v>
      </x:c>
      <x:c r="F147" s="58" t="n">
        <x:v>1837</x:v>
      </x:c>
      <x:c r="G147" s="10" t="str">
        <x:v>Figure 7</x:v>
      </x:c>
      <x:c r="H147" s="10" t="str">
        <x:v>13</x:v>
      </x:c>
      <x:c r="I147" s="10" t="str">
        <x:v>Hematologic and solid tumor groups are mutually exclusive; IO spans both categories.</x:v>
      </x:c>
    </x:row>
    <x:row r="148">
      <x:c r="A148" s="10" t="str">
        <x:v>Oncology Subcategory|Solid|Phase III</x:v>
      </x:c>
      <x:c r="B148" s="10" t="str">
        <x:v>Oncology Subcategory</x:v>
      </x:c>
      <x:c r="C148" s="10" t="str">
        <x:v>Solid</x:v>
      </x:c>
      <x:c r="D148" s="10" t="str">
        <x:v>Phase III</x:v>
      </x:c>
      <x:c r="E148" s="56" t="n">
        <x:v>0.398</x:v>
      </x:c>
      <x:c r="F148" s="58" t="n">
        <x:v>576</x:v>
      </x:c>
      <x:c r="G148" s="10" t="str">
        <x:v>Figure 7</x:v>
      </x:c>
      <x:c r="H148" s="10" t="str">
        <x:v>13</x:v>
      </x:c>
      <x:c r="I148" s="10" t="str">
        <x:v>Hematologic and solid tumor groups are mutually exclusive; IO spans both categories.</x:v>
      </x:c>
    </x:row>
    <x:row r="149">
      <x:c r="A149" s="10" t="str">
        <x:v>Oncology Subcategory|Solid|NDA/BLA</x:v>
      </x:c>
      <x:c r="B149" s="10" t="str">
        <x:v>Oncology Subcategory</x:v>
      </x:c>
      <x:c r="C149" s="10" t="str">
        <x:v>Solid</x:v>
      </x:c>
      <x:c r="D149" s="10" t="str">
        <x:v>NDA/BLA</x:v>
      </x:c>
      <x:c r="E149" s="56" t="n">
        <x:v>0.929</x:v>
      </x:c>
      <x:c r="F149" s="58" t="n">
        <x:v>212</x:v>
      </x:c>
      <x:c r="G149" s="10" t="str">
        <x:v>Figure 7</x:v>
      </x:c>
      <x:c r="H149" s="10" t="str">
        <x:v>13</x:v>
      </x:c>
      <x:c r="I149" s="10" t="str">
        <x:v>Hematologic and solid tumor groups are mutually exclusive; IO spans both categories.</x:v>
      </x:c>
    </x:row>
    <x:row r="150">
      <x:c r="A150" s="10" t="str">
        <x:v>Oncology Subcategory|IO|Phase I</x:v>
      </x:c>
      <x:c r="B150" s="10" t="str">
        <x:v>Oncology Subcategory</x:v>
      </x:c>
      <x:c r="C150" s="10" t="str">
        <x:v>IO</x:v>
      </x:c>
      <x:c r="D150" s="10" t="str">
        <x:v>Phase I</x:v>
      </x:c>
      <x:c r="E150" s="56" t="n">
        <x:v>0.124</x:v>
      </x:c>
      <x:c r="F150" s="58" t="n">
        <x:v>679</x:v>
      </x:c>
      <x:c r="G150" s="10" t="str">
        <x:v>Figure 7</x:v>
      </x:c>
      <x:c r="H150" s="10" t="str">
        <x:v>13</x:v>
      </x:c>
      <x:c r="I150" s="10" t="str">
        <x:v>Hematologic and solid tumor groups are mutually exclusive; IO spans both categories.</x:v>
      </x:c>
    </x:row>
    <x:row r="151">
      <x:c r="A151" s="10" t="str">
        <x:v>Oncology Subcategory|IO|Phase II</x:v>
      </x:c>
      <x:c r="B151" s="10" t="str">
        <x:v>Oncology Subcategory</x:v>
      </x:c>
      <x:c r="C151" s="10" t="str">
        <x:v>IO</x:v>
      </x:c>
      <x:c r="D151" s="10" t="str">
        <x:v>Phase II</x:v>
      </x:c>
      <x:c r="E151" s="56" t="n">
        <x:v>0.194</x:v>
      </x:c>
      <x:c r="F151" s="58" t="n">
        <x:v>404</x:v>
      </x:c>
      <x:c r="G151" s="10" t="str">
        <x:v>Figure 7</x:v>
      </x:c>
      <x:c r="H151" s="10" t="str">
        <x:v>13</x:v>
      </x:c>
      <x:c r="I151" s="10" t="str">
        <x:v>Hematologic and solid tumor groups are mutually exclusive; IO spans both categories.</x:v>
      </x:c>
    </x:row>
    <x:row r="152">
      <x:c r="A152" s="10" t="str">
        <x:v>Oncology Subcategory|IO|Phase III</x:v>
      </x:c>
      <x:c r="B152" s="10" t="str">
        <x:v>Oncology Subcategory</x:v>
      </x:c>
      <x:c r="C152" s="10" t="str">
        <x:v>IO</x:v>
      </x:c>
      <x:c r="D152" s="10" t="str">
        <x:v>Phase III</x:v>
      </x:c>
      <x:c r="E152" s="56" t="n">
        <x:v>0.482</x:v>
      </x:c>
      <x:c r="F152" s="58" t="n">
        <x:v>160</x:v>
      </x:c>
      <x:c r="G152" s="10" t="str">
        <x:v>Figure 7</x:v>
      </x:c>
      <x:c r="H152" s="10" t="str">
        <x:v>13</x:v>
      </x:c>
      <x:c r="I152" s="10" t="str">
        <x:v>Hematologic and solid tumor groups are mutually exclusive; IO spans both categories.</x:v>
      </x:c>
    </x:row>
    <x:row r="153">
      <x:c r="A153" s="10" t="str">
        <x:v>Oncology Subcategory|IO|NDA/BLA</x:v>
      </x:c>
      <x:c r="B153" s="10" t="str">
        <x:v>Oncology Subcategory</x:v>
      </x:c>
      <x:c r="C153" s="10" t="str">
        <x:v>IO</x:v>
      </x:c>
      <x:c r="D153" s="10" t="str">
        <x:v>NDA/BLA</x:v>
      </x:c>
      <x:c r="E153" s="56" t="n">
        <x:v>0.984</x:v>
      </x:c>
      <x:c r="F153" s="58" t="n">
        <x:v>62</x:v>
      </x:c>
      <x:c r="G153" s="10" t="str">
        <x:v>Figure 7</x:v>
      </x:c>
      <x:c r="H153" s="10" t="str">
        <x:v>13</x:v>
      </x:c>
      <x:c r="I153" s="10" t="str">
        <x:v>Hematologic and solid tumor groups are mutually exclusive; IO spans both categories.</x:v>
      </x:c>
    </x:row>
    <x:row r="154">
      <x:c r="A154" s="10" t="str">
        <x:v>Prevalence|Rare diseases|Phase I</x:v>
      </x:c>
      <x:c r="B154" s="10" t="str">
        <x:v>Prevalence</x:v>
      </x:c>
      <x:c r="C154" s="10" t="str">
        <x:v>Rare diseases</x:v>
      </x:c>
      <x:c r="D154" s="10" t="str">
        <x:v>Phase I</x:v>
      </x:c>
      <x:c r="E154" s="56" t="n">
        <x:v>0.17</x:v>
      </x:c>
      <x:c r="F154" s="58" t="n">
        <x:v>1256</x:v>
      </x:c>
      <x:c r="G154" s="10" t="str">
        <x:v>Figure 8b</x:v>
      </x:c>
      <x:c r="H154" s="10" t="str">
        <x:v>14</x:v>
      </x:c>
      <x:c r="I154" s="10" t="str">
        <x:v>Non-oncology rare disease and highly prevalent chronic disease benchmark.</x:v>
      </x:c>
    </x:row>
    <x:row r="155">
      <x:c r="A155" s="10" t="str">
        <x:v>Prevalence|Rare diseases|Phase II</x:v>
      </x:c>
      <x:c r="B155" s="10" t="str">
        <x:v>Prevalence</x:v>
      </x:c>
      <x:c r="C155" s="10" t="str">
        <x:v>Rare diseases</x:v>
      </x:c>
      <x:c r="D155" s="10" t="str">
        <x:v>Phase II</x:v>
      </x:c>
      <x:c r="E155" s="56" t="n">
        <x:v>0.252</x:v>
      </x:c>
      <x:c r="F155" s="58" t="n">
        <x:v>876</x:v>
      </x:c>
      <x:c r="G155" s="10" t="str">
        <x:v>Figure 8b</x:v>
      </x:c>
      <x:c r="H155" s="10" t="str">
        <x:v>14</x:v>
      </x:c>
      <x:c r="I155" s="10" t="str">
        <x:v>Non-oncology rare disease and highly prevalent chronic disease benchmark.</x:v>
      </x:c>
    </x:row>
    <x:row r="156">
      <x:c r="A156" s="10" t="str">
        <x:v>Prevalence|Rare diseases|Phase III</x:v>
      </x:c>
      <x:c r="B156" s="10" t="str">
        <x:v>Prevalence</x:v>
      </x:c>
      <x:c r="C156" s="10" t="str">
        <x:v>Rare diseases</x:v>
      </x:c>
      <x:c r="D156" s="10" t="str">
        <x:v>Phase III</x:v>
      </x:c>
      <x:c r="E156" s="56" t="n">
        <x:v>0.566</x:v>
      </x:c>
      <x:c r="F156" s="58" t="n">
        <x:v>412</x:v>
      </x:c>
      <x:c r="G156" s="10" t="str">
        <x:v>Figure 8b</x:v>
      </x:c>
      <x:c r="H156" s="10" t="str">
        <x:v>14</x:v>
      </x:c>
      <x:c r="I156" s="10" t="str">
        <x:v>Non-oncology rare disease and highly prevalent chronic disease benchmark.</x:v>
      </x:c>
    </x:row>
    <x:row r="157">
      <x:c r="A157" s="10" t="str">
        <x:v>Prevalence|Rare diseases|NDA/BLA</x:v>
      </x:c>
      <x:c r="B157" s="10" t="str">
        <x:v>Prevalence</x:v>
      </x:c>
      <x:c r="C157" s="10" t="str">
        <x:v>Rare diseases</x:v>
      </x:c>
      <x:c r="D157" s="10" t="str">
        <x:v>NDA/BLA</x:v>
      </x:c>
      <x:c r="E157" s="56" t="n">
        <x:v>0.936</x:v>
      </x:c>
      <x:c r="F157" s="58" t="n">
        <x:v>172</x:v>
      </x:c>
      <x:c r="G157" s="10" t="str">
        <x:v>Figure 8b</x:v>
      </x:c>
      <x:c r="H157" s="10" t="str">
        <x:v>14</x:v>
      </x:c>
      <x:c r="I157" s="10" t="str">
        <x:v>Non-oncology rare disease and highly prevalent chronic disease benchmark.</x:v>
      </x:c>
    </x:row>
    <x:row r="158">
      <x:c r="A158" s="10" t="str">
        <x:v>Prevalence|Chronic, high prevalence diseases|Phase I</x:v>
      </x:c>
      <x:c r="B158" s="10" t="str">
        <x:v>Prevalence</x:v>
      </x:c>
      <x:c r="C158" s="10" t="str">
        <x:v>Chronic, high prevalence diseases</x:v>
      </x:c>
      <x:c r="D158" s="10" t="str">
        <x:v>Phase I</x:v>
      </x:c>
      <x:c r="E158" s="56" t="n">
        <x:v>0.059</x:v>
      </x:c>
      <x:c r="F158" s="58" t="n">
        <x:v>1978</x:v>
      </x:c>
      <x:c r="G158" s="10" t="str">
        <x:v>Figure 8b</x:v>
      </x:c>
      <x:c r="H158" s="10" t="str">
        <x:v>14</x:v>
      </x:c>
      <x:c r="I158" s="10" t="str">
        <x:v>Non-oncology rare disease and highly prevalent chronic disease benchmark.</x:v>
      </x:c>
    </x:row>
    <x:row r="159">
      <x:c r="A159" s="10" t="str">
        <x:v>Prevalence|Chronic, high prevalence diseases|Phase II</x:v>
      </x:c>
      <x:c r="B159" s="10" t="str">
        <x:v>Prevalence</x:v>
      </x:c>
      <x:c r="C159" s="10" t="str">
        <x:v>Chronic, high prevalence diseases</x:v>
      </x:c>
      <x:c r="D159" s="10" t="str">
        <x:v>Phase II</x:v>
      </x:c>
      <x:c r="E159" s="56" t="n">
        <x:v>0.127</x:v>
      </x:c>
      <x:c r="F159" s="58" t="n">
        <x:v>1233</x:v>
      </x:c>
      <x:c r="G159" s="10" t="str">
        <x:v>Figure 8b</x:v>
      </x:c>
      <x:c r="H159" s="10" t="str">
        <x:v>14</x:v>
      </x:c>
      <x:c r="I159" s="10" t="str">
        <x:v>Non-oncology rare disease and highly prevalent chronic disease benchmark.</x:v>
      </x:c>
    </x:row>
    <x:row r="160">
      <x:c r="A160" s="10" t="str">
        <x:v>Prevalence|Chronic, high prevalence diseases|Phase III</x:v>
      </x:c>
      <x:c r="B160" s="10" t="str">
        <x:v>Prevalence</x:v>
      </x:c>
      <x:c r="C160" s="10" t="str">
        <x:v>Chronic, high prevalence diseases</x:v>
      </x:c>
      <x:c r="D160" s="10" t="str">
        <x:v>Phase III</x:v>
      </x:c>
      <x:c r="E160" s="56" t="n">
        <x:v>0.551</x:v>
      </x:c>
      <x:c r="F160" s="58" t="n">
        <x:v>496</x:v>
      </x:c>
      <x:c r="G160" s="10" t="str">
        <x:v>Figure 8b</x:v>
      </x:c>
      <x:c r="H160" s="10" t="str">
        <x:v>14</x:v>
      </x:c>
      <x:c r="I160" s="10" t="str">
        <x:v>Non-oncology rare disease and highly prevalent chronic disease benchmark.</x:v>
      </x:c>
    </x:row>
    <x:row r="161">
      <x:c r="A161" s="10" t="str">
        <x:v>Prevalence|Chronic, high prevalence diseases|NDA/BLA</x:v>
      </x:c>
      <x:c r="B161" s="10" t="str">
        <x:v>Prevalence</x:v>
      </x:c>
      <x:c r="C161" s="10" t="str">
        <x:v>Chronic, high prevalence diseases</x:v>
      </x:c>
      <x:c r="D161" s="10" t="str">
        <x:v>NDA/BLA</x:v>
      </x:c>
      <x:c r="E161" s="56" t="n">
        <x:v>0.926</x:v>
      </x:c>
      <x:c r="F161" s="58" t="n">
        <x:v>217</x:v>
      </x:c>
      <x:c r="G161" s="10" t="str">
        <x:v>Figure 8b</x:v>
      </x:c>
      <x:c r="H161" s="10" t="str">
        <x:v>14</x:v>
      </x:c>
      <x:c r="I161" s="10" t="str">
        <x:v>Non-oncology rare disease and highly prevalent chronic disease benchmark.</x:v>
      </x:c>
    </x:row>
    <x:row r="162">
      <x:c r="A162" s="10" t="str">
        <x:v>Prevalence|All diseases|Phase I</x:v>
      </x:c>
      <x:c r="B162" s="10" t="str">
        <x:v>Prevalence</x:v>
      </x:c>
      <x:c r="C162" s="10" t="str">
        <x:v>All diseases</x:v>
      </x:c>
      <x:c r="D162" s="10" t="str">
        <x:v>Phase I</x:v>
      </x:c>
      <x:c r="E162" s="56" t="n">
        <x:v>0.079</x:v>
      </x:c>
      <x:c r="F162" s="58" t="n">
        <x:v>12728</x:v>
      </x:c>
      <x:c r="G162" s="10" t="str">
        <x:v>Figure 8b</x:v>
      </x:c>
      <x:c r="H162" s="10" t="str">
        <x:v>14</x:v>
      </x:c>
      <x:c r="I162" s="10" t="str">
        <x:v>Non-oncology rare disease and highly prevalent chronic disease benchmark.</x:v>
      </x:c>
    </x:row>
    <x:row r="163">
      <x:c r="A163" s="10" t="str">
        <x:v>Prevalence|All diseases|Phase II</x:v>
      </x:c>
      <x:c r="B163" s="10" t="str">
        <x:v>Prevalence</x:v>
      </x:c>
      <x:c r="C163" s="10" t="str">
        <x:v>All diseases</x:v>
      </x:c>
      <x:c r="D163" s="10" t="str">
        <x:v>Phase II</x:v>
      </x:c>
      <x:c r="E163" s="56" t="n">
        <x:v>0.151</x:v>
      </x:c>
      <x:c r="F163" s="58" t="n">
        <x:v>8314</x:v>
      </x:c>
      <x:c r="G163" s="10" t="str">
        <x:v>Figure 8b</x:v>
      </x:c>
      <x:c r="H163" s="10" t="str">
        <x:v>14</x:v>
      </x:c>
      <x:c r="I163" s="10" t="str">
        <x:v>Non-oncology rare disease and highly prevalent chronic disease benchmark.</x:v>
      </x:c>
    </x:row>
    <x:row r="164">
      <x:c r="A164" s="10" t="str">
        <x:v>Prevalence|All diseases|Phase III</x:v>
      </x:c>
      <x:c r="B164" s="10" t="str">
        <x:v>Prevalence</x:v>
      </x:c>
      <x:c r="C164" s="10" t="str">
        <x:v>All diseases</x:v>
      </x:c>
      <x:c r="D164" s="10" t="str">
        <x:v>Phase III</x:v>
      </x:c>
      <x:c r="E164" s="56" t="n">
        <x:v>0.524</x:v>
      </x:c>
      <x:c r="F164" s="58" t="n">
        <x:v>3381</x:v>
      </x:c>
      <x:c r="G164" s="10" t="str">
        <x:v>Figure 8b</x:v>
      </x:c>
      <x:c r="H164" s="10" t="str">
        <x:v>14</x:v>
      </x:c>
      <x:c r="I164" s="10" t="str">
        <x:v>Non-oncology rare disease and highly prevalent chronic disease benchmark.</x:v>
      </x:c>
    </x:row>
    <x:row r="165">
      <x:c r="A165" s="10" t="str">
        <x:v>Prevalence|All diseases|NDA/BLA</x:v>
      </x:c>
      <x:c r="B165" s="10" t="str">
        <x:v>Prevalence</x:v>
      </x:c>
      <x:c r="C165" s="10" t="str">
        <x:v>All diseases</x:v>
      </x:c>
      <x:c r="D165" s="10" t="str">
        <x:v>NDA/BLA</x:v>
      </x:c>
      <x:c r="E165" s="56" t="n">
        <x:v>0.906</x:v>
      </x:c>
      <x:c r="F165" s="58" t="n">
        <x:v>1453</x:v>
      </x:c>
      <x:c r="G165" s="10" t="str">
        <x:v>Figure 8b</x:v>
      </x:c>
      <x:c r="H165" s="10" t="str">
        <x:v>14</x:v>
      </x:c>
      <x:c r="I165" s="10" t="str">
        <x:v>Non-oncology rare disease and highly prevalent chronic disease benchmark.</x:v>
      </x:c>
    </x:row>
    <x:row r="166">
      <x:c r="A166" s="10" t="str">
        <x:v>Biomarker|Preselection biomarkers|Phase I</x:v>
      </x:c>
      <x:c r="B166" s="10" t="str">
        <x:v>Biomarker</x:v>
      </x:c>
      <x:c r="C166" s="10" t="str">
        <x:v>Preselection biomarkers</x:v>
      </x:c>
      <x:c r="D166" s="10" t="str">
        <x:v>Phase I</x:v>
      </x:c>
      <x:c r="E166" s="56" t="n">
        <x:v>0.159</x:v>
      </x:c>
      <x:c r="F166" s="58" t="n">
        <x:v>767</x:v>
      </x:c>
      <x:c r="G166" s="10" t="str">
        <x:v>Figure 11</x:v>
      </x:c>
      <x:c r="H166" s="10" t="str">
        <x:v>18</x:v>
      </x:c>
      <x:c r="I166" s="10" t="str">
        <x:v>Patient preselection biomarker benchmark.</x:v>
      </x:c>
    </x:row>
    <x:row r="167">
      <x:c r="A167" s="10" t="str">
        <x:v>Biomarker|Preselection biomarkers|Phase II</x:v>
      </x:c>
      <x:c r="B167" s="10" t="str">
        <x:v>Biomarker</x:v>
      </x:c>
      <x:c r="C167" s="10" t="str">
        <x:v>Preselection biomarkers</x:v>
      </x:c>
      <x:c r="D167" s="10" t="str">
        <x:v>Phase II</x:v>
      </x:c>
      <x:c r="E167" s="56" t="n">
        <x:v>0.303</x:v>
      </x:c>
      <x:c r="F167" s="58" t="n">
        <x:v>353</x:v>
      </x:c>
      <x:c r="G167" s="10" t="str">
        <x:v>Figure 11</x:v>
      </x:c>
      <x:c r="H167" s="10" t="str">
        <x:v>18</x:v>
      </x:c>
      <x:c r="I167" s="10" t="str">
        <x:v>Patient preselection biomarker benchmark.</x:v>
      </x:c>
    </x:row>
    <x:row r="168">
      <x:c r="A168" s="10" t="str">
        <x:v>Biomarker|Preselection biomarkers|Phase III</x:v>
      </x:c>
      <x:c r="B168" s="10" t="str">
        <x:v>Biomarker</x:v>
      </x:c>
      <x:c r="C168" s="10" t="str">
        <x:v>Preselection biomarkers</x:v>
      </x:c>
      <x:c r="D168" s="10" t="str">
        <x:v>Phase III</x:v>
      </x:c>
      <x:c r="E168" s="56" t="n">
        <x:v>0.655</x:v>
      </x:c>
      <x:c r="F168" s="58" t="n">
        <x:v>204</x:v>
      </x:c>
      <x:c r="G168" s="10" t="str">
        <x:v>Figure 11</x:v>
      </x:c>
      <x:c r="H168" s="10" t="str">
        <x:v>18</x:v>
      </x:c>
      <x:c r="I168" s="10" t="str">
        <x:v>Patient preselection biomarker benchmark.</x:v>
      </x:c>
    </x:row>
    <x:row r="169">
      <x:c r="A169" s="10" t="str">
        <x:v>Biomarker|Preselection biomarkers|NDA/BLA</x:v>
      </x:c>
      <x:c r="B169" s="10" t="str">
        <x:v>Biomarker</x:v>
      </x:c>
      <x:c r="C169" s="10" t="str">
        <x:v>Preselection biomarkers</x:v>
      </x:c>
      <x:c r="D169" s="10" t="str">
        <x:v>NDA/BLA</x:v>
      </x:c>
      <x:c r="E169" s="56" t="n">
        <x:v>0.96</x:v>
      </x:c>
      <x:c r="F169" s="58" t="n">
        <x:v>75</x:v>
      </x:c>
      <x:c r="G169" s="10" t="str">
        <x:v>Figure 11</x:v>
      </x:c>
      <x:c r="H169" s="10" t="str">
        <x:v>18</x:v>
      </x:c>
      <x:c r="I169" s="10" t="str">
        <x:v>Patient preselection biomarker benchmark.</x:v>
      </x:c>
    </x:row>
    <x:row r="170">
      <x:c r="A170" s="10" t="str">
        <x:v>Biomarker|No biomarkers|Phase I</x:v>
      </x:c>
      <x:c r="B170" s="10" t="str">
        <x:v>Biomarker</x:v>
      </x:c>
      <x:c r="C170" s="10" t="str">
        <x:v>No biomarkers</x:v>
      </x:c>
      <x:c r="D170" s="10" t="str">
        <x:v>Phase I</x:v>
      </x:c>
      <x:c r="E170" s="56" t="n">
        <x:v>0.076</x:v>
      </x:c>
      <x:c r="F170" s="58" t="n">
        <x:v>11961</x:v>
      </x:c>
      <x:c r="G170" s="10" t="str">
        <x:v>Figure 11</x:v>
      </x:c>
      <x:c r="H170" s="10" t="str">
        <x:v>18</x:v>
      </x:c>
      <x:c r="I170" s="10" t="str">
        <x:v>Patient preselection biomarker benchmark.</x:v>
      </x:c>
    </x:row>
    <x:row r="171">
      <x:c r="A171" s="10" t="str">
        <x:v>Biomarker|No biomarkers|Phase II</x:v>
      </x:c>
      <x:c r="B171" s="10" t="str">
        <x:v>Biomarker</x:v>
      </x:c>
      <x:c r="C171" s="10" t="str">
        <x:v>No biomarkers</x:v>
      </x:c>
      <x:c r="D171" s="10" t="str">
        <x:v>Phase II</x:v>
      </x:c>
      <x:c r="E171" s="56" t="n">
        <x:v>0.146</x:v>
      </x:c>
      <x:c r="F171" s="58" t="n">
        <x:v>7961</x:v>
      </x:c>
      <x:c r="G171" s="10" t="str">
        <x:v>Figure 11</x:v>
      </x:c>
      <x:c r="H171" s="10" t="str">
        <x:v>18</x:v>
      </x:c>
      <x:c r="I171" s="10" t="str">
        <x:v>Patient preselection biomarker benchmark.</x:v>
      </x:c>
    </x:row>
    <x:row r="172">
      <x:c r="A172" s="10" t="str">
        <x:v>Biomarker|No biomarkers|Phase III</x:v>
      </x:c>
      <x:c r="B172" s="10" t="str">
        <x:v>Biomarker</x:v>
      </x:c>
      <x:c r="C172" s="10" t="str">
        <x:v>No biomarkers</x:v>
      </x:c>
      <x:c r="D172" s="10" t="str">
        <x:v>Phase III</x:v>
      </x:c>
      <x:c r="E172" s="56" t="n">
        <x:v>0.515</x:v>
      </x:c>
      <x:c r="F172" s="58" t="n">
        <x:v>3177</x:v>
      </x:c>
      <x:c r="G172" s="10" t="str">
        <x:v>Figure 11</x:v>
      </x:c>
      <x:c r="H172" s="10" t="str">
        <x:v>18</x:v>
      </x:c>
      <x:c r="I172" s="10" t="str">
        <x:v>Patient preselection biomarker benchmark.</x:v>
      </x:c>
    </x:row>
    <x:row r="173">
      <x:c r="A173" s="10" t="str">
        <x:v>Biomarker|No biomarkers|NDA/BLA</x:v>
      </x:c>
      <x:c r="B173" s="10" t="str">
        <x:v>Biomarker</x:v>
      </x:c>
      <x:c r="C173" s="10" t="str">
        <x:v>No biomarkers</x:v>
      </x:c>
      <x:c r="D173" s="10" t="str">
        <x:v>NDA/BLA</x:v>
      </x:c>
      <x:c r="E173" s="56" t="n">
        <x:v>0.903</x:v>
      </x:c>
      <x:c r="F173" s="58" t="n">
        <x:v>1378</x:v>
      </x:c>
      <x:c r="G173" s="10" t="str">
        <x:v>Figure 11</x:v>
      </x:c>
      <x:c r="H173" s="10" t="str">
        <x:v>18</x:v>
      </x:c>
      <x:c r="I173" s="10" t="str">
        <x:v>Patient preselection biomarker benchmark.</x:v>
      </x:c>
    </x:row>
  </x:sheetData>
  <x:pageMargins left="0.7" right="0.7" top="0.75" bottom="0.75" header="0.3" footer="0.3"/>
  <x:tableParts count="1">
    <x:tablePart xmlns:r="http://schemas.openxmlformats.org/officeDocument/2006/relationships" r:id="R674a511098db40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4" hidden="0" customWidth="1"/>
    <x:col min="19" max="19" width="15" hidden="0" customWidth="1"/>
    <x:col min="20" max="20" width="54" hidden="0" customWidth="1"/>
  </x:cols>
  <x:sheetData>
    <x:row r="1">
      <x:c r="A1" s="54" t="str">
        <x:v>Benchmark</x:v>
      </x:c>
      <x:c r="B1" s="54" t="str">
        <x:v>Phase I to II n</x:v>
      </x:c>
      <x:c r="C1" s="54" t="str">
        <x:v>Phase I to II POS</x:v>
      </x:c>
      <x:c r="D1" s="54" t="str">
        <x:v>Phase II to III n</x:v>
      </x:c>
      <x:c r="E1" s="54" t="str">
        <x:v>Phase II to III POS</x:v>
      </x:c>
      <x:c r="F1" s="54" t="str">
        <x:v>Phase III to NDA/BLA n</x:v>
      </x:c>
      <x:c r="G1" s="54" t="str">
        <x:v>Phase III to NDA/BLA POS</x:v>
      </x:c>
      <x:c r="H1" s="54" t="str">
        <x:v>NDA/BLA n</x:v>
      </x:c>
      <x:c r="I1" s="54" t="str">
        <x:v>NDA/BLA POS</x:v>
      </x:c>
      <x:c r="J1" s="54" t="str">
        <x:v>Phase I n</x:v>
      </x:c>
      <x:c r="K1" s="54" t="str">
        <x:v>Phase I to Approval</x:v>
      </x:c>
      <x:c r="L1" s="54" t="str">
        <x:v>Phase II n</x:v>
      </x:c>
      <x:c r="M1" s="54" t="str">
        <x:v>Phase II to Approval</x:v>
      </x:c>
      <x:c r="N1" s="54" t="str">
        <x:v>Phase III n</x:v>
      </x:c>
      <x:c r="O1" s="54" t="str">
        <x:v>Phase III to Approval</x:v>
      </x:c>
      <x:c r="P1" s="54" t="str">
        <x:v>NDA/BLA Approval n</x:v>
      </x:c>
      <x:c r="Q1" s="54" t="str">
        <x:v>NDA/BLA to Approval</x:v>
      </x:c>
      <x:c r="R1" s="54" t="str">
        <x:v>Source Figure</x:v>
      </x:c>
      <x:c r="S1" s="54" t="str">
        <x:v>Source Pages</x:v>
      </x:c>
      <x:c r="T1" s="54" t="str">
        <x:v>Notes</x:v>
      </x:c>
    </x:row>
    <x:row r="2">
      <x:c r="A2" s="10" t="str">
        <x:v>Hematology</x:v>
      </x:c>
      <x:c r="B2" s="58" t="n">
        <x:v>92</x:v>
      </x:c>
      <x:c r="C2" s="56" t="n">
        <x:v>0.696</x:v>
      </x:c>
      <x:c r="D2" s="58" t="n">
        <x:v>106</x:v>
      </x:c>
      <x:c r="E2" s="56" t="n">
        <x:v>0.481</x:v>
      </x:c>
      <x:c r="F2" s="58" t="n">
        <x:v>82</x:v>
      </x:c>
      <x:c r="G2" s="56" t="n">
        <x:v>0.768</x:v>
      </x:c>
      <x:c r="H2" s="58" t="n">
        <x:v>72</x:v>
      </x:c>
      <x:c r="I2" s="56" t="n">
        <x:v>0.931</x:v>
      </x:c>
      <x:c r="J2" s="58" t="n">
        <x:v>352</x:v>
      </x:c>
      <x:c r="K2" s="56" t="n">
        <x:v>0.239</x:v>
      </x:c>
      <x:c r="L2" s="58" t="n">
        <x:v>260</x:v>
      </x:c>
      <x:c r="M2" s="56" t="n">
        <x:v>0.344</x:v>
      </x:c>
      <x:c r="N2" s="58" t="n">
        <x:v>154</x:v>
      </x:c>
      <x:c r="O2" s="56" t="n">
        <x:v>0.715</x:v>
      </x:c>
      <x:c r="P2" s="58" t="n">
        <x:v>72</x:v>
      </x:c>
      <x:c r="Q2" s="56" t="n">
        <x:v>0.931</x:v>
      </x:c>
      <x:c r="R2" s="10" t="str">
        <x:v>Figure 2 transition POS; Figure 5b LOA</x:v>
      </x:c>
      <x:c r="S2" s="10" t="str">
        <x:v>7, 11</x:v>
      </x:c>
      <x:c r="T2" s="10" t="str">
        <x:v>Disease-area benchmark from 14 major disease groupings plus All indications.</x:v>
      </x:c>
    </x:row>
    <x:row r="3">
      <x:c r="A3" s="10" t="str">
        <x:v>Metabolic</x:v>
      </x:c>
      <x:c r="B3" s="58" t="n">
        <x:v>136</x:v>
      </x:c>
      <x:c r="C3" s="56" t="n">
        <x:v>0.618</x:v>
      </x:c>
      <x:c r="D3" s="58" t="n">
        <x:v>149</x:v>
      </x:c>
      <x:c r="E3" s="56" t="n">
        <x:v>0.45</x:v>
      </x:c>
      <x:c r="F3" s="58" t="n">
        <x:v>66</x:v>
      </x:c>
      <x:c r="G3" s="56" t="n">
        <x:v>0.636</x:v>
      </x:c>
      <x:c r="H3" s="58" t="n">
        <x:v>48</x:v>
      </x:c>
      <x:c r="I3" s="56" t="n">
        <x:v>0.875</x:v>
      </x:c>
      <x:c r="J3" s="58" t="n">
        <x:v>399</x:v>
      </x:c>
      <x:c r="K3" s="56" t="n">
        <x:v>0.155</x:v>
      </x:c>
      <x:c r="L3" s="58" t="n">
        <x:v>263</x:v>
      </x:c>
      <x:c r="M3" s="56" t="n">
        <x:v>0.25</x:v>
      </x:c>
      <x:c r="N3" s="58" t="n">
        <x:v>114</x:v>
      </x:c>
      <x:c r="O3" s="56" t="n">
        <x:v>0.557</x:v>
      </x:c>
      <x:c r="P3" s="58" t="n">
        <x:v>48</x:v>
      </x:c>
      <x:c r="Q3" s="56" t="n">
        <x:v>0.875</x:v>
      </x:c>
      <x:c r="R3" s="10" t="str">
        <x:v>Figure 2 transition POS; Figure 5b LOA</x:v>
      </x:c>
      <x:c r="S3" s="10" t="str">
        <x:v>7, 11</x:v>
      </x:c>
      <x:c r="T3" s="10" t="str">
        <x:v>Disease-area benchmark from 14 major disease groupings plus All indications.</x:v>
      </x:c>
    </x:row>
    <x:row r="4">
      <x:c r="A4" s="10" t="str">
        <x:v>Infectious disease</x:v>
      </x:c>
      <x:c r="B4" s="58" t="n">
        <x:v>403</x:v>
      </x:c>
      <x:c r="C4" s="56" t="n">
        <x:v>0.578</x:v>
      </x:c>
      <x:c r="D4" s="58" t="n">
        <x:v>414</x:v>
      </x:c>
      <x:c r="E4" s="56" t="n">
        <x:v>0.384</x:v>
      </x:c>
      <x:c r="F4" s="58" t="n">
        <x:v>197</x:v>
      </x:c>
      <x:c r="G4" s="56" t="n">
        <x:v>0.64</x:v>
      </x:c>
      <x:c r="H4" s="58" t="n">
        <x:v>156</x:v>
      </x:c>
      <x:c r="I4" s="56" t="n">
        <x:v>0.929</x:v>
      </x:c>
      <x:c r="J4" s="58" t="n">
        <x:v>1170</x:v>
      </x:c>
      <x:c r="K4" s="56" t="n">
        <x:v>0.132</x:v>
      </x:c>
      <x:c r="L4" s="58" t="n">
        <x:v>767</x:v>
      </x:c>
      <x:c r="M4" s="56" t="n">
        <x:v>0.228</x:v>
      </x:c>
      <x:c r="N4" s="58" t="n">
        <x:v>353</x:v>
      </x:c>
      <x:c r="O4" s="56" t="n">
        <x:v>0.594</x:v>
      </x:c>
      <x:c r="P4" s="58" t="n">
        <x:v>156</x:v>
      </x:c>
      <x:c r="Q4" s="56" t="n">
        <x:v>0.929</x:v>
      </x:c>
      <x:c r="R4" s="10" t="str">
        <x:v>Figure 2 transition POS; Figure 5b LOA</x:v>
      </x:c>
      <x:c r="S4" s="10" t="str">
        <x:v>7, 11</x:v>
      </x:c>
      <x:c r="T4" s="10" t="str">
        <x:v>Disease-area benchmark from 14 major disease groupings plus All indications.</x:v>
      </x:c>
    </x:row>
    <x:row r="5">
      <x:c r="A5" s="10" t="str">
        <x:v>Others</x:v>
      </x:c>
      <x:c r="B5" s="58" t="n">
        <x:v>154</x:v>
      </x:c>
      <x:c r="C5" s="56" t="n">
        <x:v>0.636</x:v>
      </x:c>
      <x:c r="D5" s="58" t="n">
        <x:v>228</x:v>
      </x:c>
      <x:c r="E5" s="56" t="n">
        <x:v>0.386</x:v>
      </x:c>
      <x:c r="F5" s="58" t="n">
        <x:v>90</x:v>
      </x:c>
      <x:c r="G5" s="56" t="n">
        <x:v>0.6</x:v>
      </x:c>
      <x:c r="H5" s="58" t="n">
        <x:v>69</x:v>
      </x:c>
      <x:c r="I5" s="56" t="n">
        <x:v>0.884</x:v>
      </x:c>
      <x:c r="J5" s="58" t="n">
        <x:v>541</x:v>
      </x:c>
      <x:c r="K5" s="56" t="n">
        <x:v>0.13</x:v>
      </x:c>
      <x:c r="L5" s="58" t="n">
        <x:v>387</x:v>
      </x:c>
      <x:c r="M5" s="56" t="n">
        <x:v>0.205</x:v>
      </x:c>
      <x:c r="N5" s="58" t="n">
        <x:v>159</x:v>
      </x:c>
      <x:c r="O5" s="56" t="n">
        <x:v>0.53</x:v>
      </x:c>
      <x:c r="P5" s="58" t="n">
        <x:v>69</x:v>
      </x:c>
      <x:c r="Q5" s="56" t="n">
        <x:v>0.884</x:v>
      </x:c>
      <x:c r="R5" s="10" t="str">
        <x:v>Figure 2 transition POS; Figure 5b LOA</x:v>
      </x:c>
      <x:c r="S5" s="10" t="str">
        <x:v>7, 11</x:v>
      </x:c>
      <x:c r="T5" s="10" t="str">
        <x:v>Disease-area benchmark from 14 major disease groupings plus All indications.</x:v>
      </x:c>
    </x:row>
    <x:row r="6">
      <x:c r="A6" s="10" t="str">
        <x:v>Ophthalmology</x:v>
      </x:c>
      <x:c r="B6" s="58" t="n">
        <x:v>88</x:v>
      </x:c>
      <x:c r="C6" s="56" t="n">
        <x:v>0.716</x:v>
      </x:c>
      <x:c r="D6" s="58" t="n">
        <x:v>200</x:v>
      </x:c>
      <x:c r="E6" s="56" t="n">
        <x:v>0.355</x:v>
      </x:c>
      <x:c r="F6" s="58" t="n">
        <x:v>82</x:v>
      </x:c>
      <x:c r="G6" s="56" t="n">
        <x:v>0.512</x:v>
      </x:c>
      <x:c r="H6" s="58" t="n">
        <x:v>45</x:v>
      </x:c>
      <x:c r="I6" s="56" t="n">
        <x:v>0.911</x:v>
      </x:c>
      <x:c r="J6" s="58" t="n">
        <x:v>415</x:v>
      </x:c>
      <x:c r="K6" s="56" t="n">
        <x:v>0.119</x:v>
      </x:c>
      <x:c r="L6" s="58" t="n">
        <x:v>327</x:v>
      </x:c>
      <x:c r="M6" s="56" t="n">
        <x:v>0.166</x:v>
      </x:c>
      <x:c r="N6" s="58" t="n">
        <x:v>127</x:v>
      </x:c>
      <x:c r="O6" s="56" t="n">
        <x:v>0.467</x:v>
      </x:c>
      <x:c r="P6" s="58" t="n">
        <x:v>45</x:v>
      </x:c>
      <x:c r="Q6" s="56" t="n">
        <x:v>0.911</x:v>
      </x:c>
      <x:c r="R6" s="10" t="str">
        <x:v>Figure 2 transition POS; Figure 5b LOA</x:v>
      </x:c>
      <x:c r="S6" s="10" t="str">
        <x:v>7, 11</x:v>
      </x:c>
      <x:c r="T6" s="10" t="str">
        <x:v>Disease-area benchmark from 14 major disease groupings plus All indications.</x:v>
      </x:c>
    </x:row>
    <x:row r="7">
      <x:c r="A7" s="10" t="str">
        <x:v>Autoimmune</x:v>
      </x:c>
      <x:c r="B7" s="58" t="n">
        <x:v>413</x:v>
      </x:c>
      <x:c r="C7" s="56" t="n">
        <x:v>0.552</x:v>
      </x:c>
      <x:c r="D7" s="58" t="n">
        <x:v>471</x:v>
      </x:c>
      <x:c r="E7" s="56" t="n">
        <x:v>0.314</x:v>
      </x:c>
      <x:c r="F7" s="58" t="n">
        <x:v>219</x:v>
      </x:c>
      <x:c r="G7" s="56" t="n">
        <x:v>0.653</x:v>
      </x:c>
      <x:c r="H7" s="58" t="n">
        <x:v>202</x:v>
      </x:c>
      <x:c r="I7" s="56" t="n">
        <x:v>0.941</x:v>
      </x:c>
      <x:c r="J7" s="58" t="n">
        <x:v>1305</x:v>
      </x:c>
      <x:c r="K7" s="56" t="n">
        <x:v>0.107</x:v>
      </x:c>
      <x:c r="L7" s="58" t="n">
        <x:v>892</x:v>
      </x:c>
      <x:c r="M7" s="56" t="n">
        <x:v>0.193</x:v>
      </x:c>
      <x:c r="N7" s="58" t="n">
        <x:v>421</x:v>
      </x:c>
      <x:c r="O7" s="56" t="n">
        <x:v>0.614</x:v>
      </x:c>
      <x:c r="P7" s="58" t="n">
        <x:v>202</x:v>
      </x:c>
      <x:c r="Q7" s="56" t="n">
        <x:v>0.941</x:v>
      </x:c>
      <x:c r="R7" s="10" t="str">
        <x:v>Figure 2 transition POS; Figure 5b LOA</x:v>
      </x:c>
      <x:c r="S7" s="10" t="str">
        <x:v>7, 11</x:v>
      </x:c>
      <x:c r="T7" s="10" t="str">
        <x:v>Disease-area benchmark from 14 major disease groupings plus All indications.</x:v>
      </x:c>
    </x:row>
    <x:row r="8">
      <x:c r="A8" s="10" t="str">
        <x:v>Allergy</x:v>
      </x:c>
      <x:c r="B8" s="58" t="n">
        <x:v>55</x:v>
      </x:c>
      <x:c r="C8" s="56" t="n">
        <x:v>0.564</x:v>
      </x:c>
      <x:c r="D8" s="58" t="n">
        <x:v>92</x:v>
      </x:c>
      <x:c r="E8" s="56" t="n">
        <x:v>0.283</x:v>
      </x:c>
      <x:c r="F8" s="58" t="n">
        <x:v>34</x:v>
      </x:c>
      <x:c r="G8" s="56" t="n">
        <x:v>0.647</x:v>
      </x:c>
      <x:c r="H8" s="58" t="n">
        <x:v>20</x:v>
      </x:c>
      <x:c r="I8" s="56" t="n">
        <x:v>1</x:v>
      </x:c>
      <x:c r="J8" s="58" t="n">
        <x:v>201</x:v>
      </x:c>
      <x:c r="K8" s="56" t="n">
        <x:v>0.103</x:v>
      </x:c>
      <x:c r="L8" s="58" t="n">
        <x:v>146</x:v>
      </x:c>
      <x:c r="M8" s="56" t="n">
        <x:v>0.183</x:v>
      </x:c>
      <x:c r="N8" s="58" t="n">
        <x:v>54</x:v>
      </x:c>
      <x:c r="O8" s="56" t="n">
        <x:v>0.647</x:v>
      </x:c>
      <x:c r="P8" s="58" t="n">
        <x:v>20</x:v>
      </x:c>
      <x:c r="Q8" s="56" t="n">
        <x:v>1</x:v>
      </x:c>
      <x:c r="R8" s="10" t="str">
        <x:v>Figure 2 transition POS; Figure 5b LOA</x:v>
      </x:c>
      <x:c r="S8" s="10" t="str">
        <x:v>7, 11</x:v>
      </x:c>
      <x:c r="T8" s="10" t="str">
        <x:v>Disease-area benchmark from 14 major disease groupings plus All indications.</x:v>
      </x:c>
    </x:row>
    <x:row r="9">
      <x:c r="A9" s="10" t="str">
        <x:v>Gastroenterology</x:v>
      </x:c>
      <x:c r="B9" s="58" t="n">
        <x:v>45</x:v>
      </x:c>
      <x:c r="C9" s="56" t="n">
        <x:v>0.467</x:v>
      </x:c>
      <x:c r="D9" s="58" t="n">
        <x:v>73</x:v>
      </x:c>
      <x:c r="E9" s="56" t="n">
        <x:v>0.342</x:v>
      </x:c>
      <x:c r="F9" s="58" t="n">
        <x:v>35</x:v>
      </x:c>
      <x:c r="G9" s="56" t="n">
        <x:v>0.571</x:v>
      </x:c>
      <x:c r="H9" s="58" t="n">
        <x:v>33</x:v>
      </x:c>
      <x:c r="I9" s="56" t="n">
        <x:v>0.909</x:v>
      </x:c>
      <x:c r="J9" s="58" t="n">
        <x:v>186</x:v>
      </x:c>
      <x:c r="K9" s="56" t="n">
        <x:v>0.083</x:v>
      </x:c>
      <x:c r="L9" s="58" t="n">
        <x:v>141</x:v>
      </x:c>
      <x:c r="M9" s="56" t="n">
        <x:v>0.178</x:v>
      </x:c>
      <x:c r="N9" s="58" t="n">
        <x:v>68</x:v>
      </x:c>
      <x:c r="O9" s="56" t="n">
        <x:v>0.519</x:v>
      </x:c>
      <x:c r="P9" s="58" t="n">
        <x:v>33</x:v>
      </x:c>
      <x:c r="Q9" s="56" t="n">
        <x:v>0.909</x:v>
      </x:c>
      <x:c r="R9" s="10" t="str">
        <x:v>Figure 2 transition POS; Figure 5b LOA</x:v>
      </x:c>
      <x:c r="S9" s="10" t="str">
        <x:v>7, 11</x:v>
      </x:c>
      <x:c r="T9" s="10" t="str">
        <x:v>Disease-area benchmark from 14 major disease groupings plus All indications.</x:v>
      </x:c>
    </x:row>
    <x:row r="10">
      <x:c r="A10" s="10" t="str">
        <x:v>All indications</x:v>
      </x:c>
      <x:c r="B10" s="58" t="n">
        <x:v>4414</x:v>
      </x:c>
      <x:c r="C10" s="56" t="n">
        <x:v>0.52</x:v>
      </x:c>
      <x:c r="D10" s="58" t="n">
        <x:v>4933</x:v>
      </x:c>
      <x:c r="E10" s="56" t="n">
        <x:v>0.289</x:v>
      </x:c>
      <x:c r="F10" s="58" t="n">
        <x:v>1928</x:v>
      </x:c>
      <x:c r="G10" s="56" t="n">
        <x:v>0.578</x:v>
      </x:c>
      <x:c r="H10" s="58" t="n">
        <x:v>1453</x:v>
      </x:c>
      <x:c r="I10" s="56" t="n">
        <x:v>0.906</x:v>
      </x:c>
      <x:c r="J10" s="58" t="n">
        <x:v>12728</x:v>
      </x:c>
      <x:c r="K10" s="56" t="n">
        <x:v>0.079</x:v>
      </x:c>
      <x:c r="L10" s="58" t="n">
        <x:v>8314</x:v>
      </x:c>
      <x:c r="M10" s="56" t="n">
        <x:v>0.151</x:v>
      </x:c>
      <x:c r="N10" s="58" t="n">
        <x:v>3381</x:v>
      </x:c>
      <x:c r="O10" s="56" t="n">
        <x:v>0.524</x:v>
      </x:c>
      <x:c r="P10" s="58" t="n">
        <x:v>1453</x:v>
      </x:c>
      <x:c r="Q10" s="56" t="n">
        <x:v>0.906</x:v>
      </x:c>
      <x:c r="R10" s="10" t="str">
        <x:v>Figure 2 transition POS; Figure 5b LOA</x:v>
      </x:c>
      <x:c r="S10" s="10" t="str">
        <x:v>7, 11</x:v>
      </x:c>
      <x:c r="T10" s="10" t="str">
        <x:v>Disease-area benchmark from 14 major disease groupings plus All indications.</x:v>
      </x:c>
    </x:row>
    <x:row r="11">
      <x:c r="A11" s="10" t="str">
        <x:v>Respiratory</x:v>
      </x:c>
      <x:c r="B11" s="58" t="n">
        <x:v>179</x:v>
      </x:c>
      <x:c r="C11" s="56" t="n">
        <x:v>0.559</x:v>
      </x:c>
      <x:c r="D11" s="58" t="n">
        <x:v>215</x:v>
      </x:c>
      <x:c r="E11" s="56" t="n">
        <x:v>0.219</x:v>
      </x:c>
      <x:c r="F11" s="58" t="n">
        <x:v>62</x:v>
      </x:c>
      <x:c r="G11" s="56" t="n">
        <x:v>0.645</x:v>
      </x:c>
      <x:c r="H11" s="58" t="n">
        <x:v>45</x:v>
      </x:c>
      <x:c r="I11" s="56" t="n">
        <x:v>0.956</x:v>
      </x:c>
      <x:c r="J11" s="58" t="n">
        <x:v>501</x:v>
      </x:c>
      <x:c r="K11" s="56" t="n">
        <x:v>0.075</x:v>
      </x:c>
      <x:c r="L11" s="58" t="n">
        <x:v>322</x:v>
      </x:c>
      <x:c r="M11" s="56" t="n">
        <x:v>0.135</x:v>
      </x:c>
      <x:c r="N11" s="58" t="n">
        <x:v>107</x:v>
      </x:c>
      <x:c r="O11" s="56" t="n">
        <x:v>0.616</x:v>
      </x:c>
      <x:c r="P11" s="58" t="n">
        <x:v>45</x:v>
      </x:c>
      <x:c r="Q11" s="56" t="n">
        <x:v>0.956</x:v>
      </x:c>
      <x:c r="R11" s="10" t="str">
        <x:v>Figure 2 transition POS; Figure 5b LOA</x:v>
      </x:c>
      <x:c r="S11" s="10" t="str">
        <x:v>7, 11</x:v>
      </x:c>
      <x:c r="T11" s="10" t="str">
        <x:v>Disease-area benchmark from 14 major disease groupings plus All indications.</x:v>
      </x:c>
    </x:row>
    <x:row r="12">
      <x:c r="A12" s="10" t="str">
        <x:v>Psychiatry</x:v>
      </x:c>
      <x:c r="B12" s="58" t="n">
        <x:v>150</x:v>
      </x:c>
      <x:c r="C12" s="56" t="n">
        <x:v>0.527</x:v>
      </x:c>
      <x:c r="D12" s="58" t="n">
        <x:v>164</x:v>
      </x:c>
      <x:c r="E12" s="56" t="n">
        <x:v>0.268</x:v>
      </x:c>
      <x:c r="F12" s="58" t="n">
        <x:v>71</x:v>
      </x:c>
      <x:c r="G12" s="56" t="n">
        <x:v>0.563</x:v>
      </x:c>
      <x:c r="H12" s="58" t="n">
        <x:v>57</x:v>
      </x:c>
      <x:c r="I12" s="56" t="n">
        <x:v>0.912</x:v>
      </x:c>
      <x:c r="J12" s="58" t="n">
        <x:v>442</x:v>
      </x:c>
      <x:c r="K12" s="56" t="n">
        <x:v>0.073</x:v>
      </x:c>
      <x:c r="L12" s="58" t="n">
        <x:v>292</x:v>
      </x:c>
      <x:c r="M12" s="56" t="n">
        <x:v>0.138</x:v>
      </x:c>
      <x:c r="N12" s="58" t="n">
        <x:v>128</x:v>
      </x:c>
      <x:c r="O12" s="56" t="n">
        <x:v>0.514</x:v>
      </x:c>
      <x:c r="P12" s="58" t="n">
        <x:v>57</x:v>
      </x:c>
      <x:c r="Q12" s="56" t="n">
        <x:v>0.912</x:v>
      </x:c>
      <x:c r="R12" s="10" t="str">
        <x:v>Figure 2 transition POS; Figure 5b LOA</x:v>
      </x:c>
      <x:c r="S12" s="10" t="str">
        <x:v>7, 11</x:v>
      </x:c>
      <x:c r="T12" s="10" t="str">
        <x:v>Disease-area benchmark from 14 major disease groupings plus All indications.</x:v>
      </x:c>
    </x:row>
    <x:row r="13">
      <x:c r="A13" s="10" t="str">
        <x:v>Endocrine</x:v>
      </x:c>
      <x:c r="B13" s="58" t="n">
        <x:v>319</x:v>
      </x:c>
      <x:c r="C13" s="56" t="n">
        <x:v>0.433</x:v>
      </x:c>
      <x:c r="D13" s="58" t="n">
        <x:v>293</x:v>
      </x:c>
      <x:c r="E13" s="56" t="n">
        <x:v>0.266</x:v>
      </x:c>
      <x:c r="F13" s="58" t="n">
        <x:v>151</x:v>
      </x:c>
      <x:c r="G13" s="56" t="n">
        <x:v>0.662</x:v>
      </x:c>
      <x:c r="H13" s="58" t="n">
        <x:v>124</x:v>
      </x:c>
      <x:c r="I13" s="56" t="n">
        <x:v>0.863</x:v>
      </x:c>
      <x:c r="J13" s="58" t="n">
        <x:v>887</x:v>
      </x:c>
      <x:c r="K13" s="56" t="n">
        <x:v>0.066</x:v>
      </x:c>
      <x:c r="L13" s="58" t="n">
        <x:v>568</x:v>
      </x:c>
      <x:c r="M13" s="56" t="n">
        <x:v>0.152</x:v>
      </x:c>
      <x:c r="N13" s="58" t="n">
        <x:v>275</x:v>
      </x:c>
      <x:c r="O13" s="56" t="n">
        <x:v>0.571</x:v>
      </x:c>
      <x:c r="P13" s="58" t="n">
        <x:v>124</x:v>
      </x:c>
      <x:c r="Q13" s="56" t="n">
        <x:v>0.863</x:v>
      </x:c>
      <x:c r="R13" s="10" t="str">
        <x:v>Figure 2 transition POS; Figure 5b LOA</x:v>
      </x:c>
      <x:c r="S13" s="10" t="str">
        <x:v>7, 11</x:v>
      </x:c>
      <x:c r="T13" s="10" t="str">
        <x:v>Disease-area benchmark from 14 major disease groupings plus All indications.</x:v>
      </x:c>
    </x:row>
    <x:row r="14">
      <x:c r="A14" s="10" t="str">
        <x:v>Neurology</x:v>
      </x:c>
      <x:c r="B14" s="58" t="n">
        <x:v>516</x:v>
      </x:c>
      <x:c r="C14" s="56" t="n">
        <x:v>0.477</x:v>
      </x:c>
      <x:c r="D14" s="58" t="n">
        <x:v>504</x:v>
      </x:c>
      <x:c r="E14" s="56" t="n">
        <x:v>0.268</x:v>
      </x:c>
      <x:c r="F14" s="58" t="n">
        <x:v>226</x:v>
      </x:c>
      <x:c r="G14" s="56" t="n">
        <x:v>0.531</x:v>
      </x:c>
      <x:c r="H14" s="58" t="n">
        <x:v>165</x:v>
      </x:c>
      <x:c r="I14" s="56" t="n">
        <x:v>0.867</x:v>
      </x:c>
      <x:c r="J14" s="58" t="n">
        <x:v>1411</x:v>
      </x:c>
      <x:c r="K14" s="56" t="n">
        <x:v>0.059</x:v>
      </x:c>
      <x:c r="L14" s="58" t="n">
        <x:v>895</x:v>
      </x:c>
      <x:c r="M14" s="56" t="n">
        <x:v>0.123</x:v>
      </x:c>
      <x:c r="N14" s="58" t="n">
        <x:v>391</x:v>
      </x:c>
      <x:c r="O14" s="56" t="n">
        <x:v>0.46</x:v>
      </x:c>
      <x:c r="P14" s="58" t="n">
        <x:v>165</x:v>
      </x:c>
      <x:c r="Q14" s="56" t="n">
        <x:v>0.867</x:v>
      </x:c>
      <x:c r="R14" s="10" t="str">
        <x:v>Figure 2 transition POS; Figure 5b LOA</x:v>
      </x:c>
      <x:c r="S14" s="10" t="str">
        <x:v>7, 11</x:v>
      </x:c>
      <x:c r="T14" s="10" t="str">
        <x:v>Disease-area benchmark from 14 major disease groupings plus All indications.</x:v>
      </x:c>
    </x:row>
    <x:row r="15">
      <x:c r="A15" s="10" t="str">
        <x:v>Oncology</x:v>
      </x:c>
      <x:c r="B15" s="58" t="n">
        <x:v>1628</x:v>
      </x:c>
      <x:c r="C15" s="56" t="n">
        <x:v>0.488</x:v>
      </x:c>
      <x:c r="D15" s="58" t="n">
        <x:v>1732</x:v>
      </x:c>
      <x:c r="E15" s="56" t="n">
        <x:v>0.246</x:v>
      </x:c>
      <x:c r="F15" s="58" t="n">
        <x:v>495</x:v>
      </x:c>
      <x:c r="G15" s="56" t="n">
        <x:v>0.477</x:v>
      </x:c>
      <x:c r="H15" s="58" t="n">
        <x:v>324</x:v>
      </x:c>
      <x:c r="I15" s="56" t="n">
        <x:v>0.92</x:v>
      </x:c>
      <x:c r="J15" s="58" t="n">
        <x:v>4179</x:v>
      </x:c>
      <x:c r="K15" s="56" t="n">
        <x:v>0.053</x:v>
      </x:c>
      <x:c r="L15" s="58" t="n">
        <x:v>2551</x:v>
      </x:c>
      <x:c r="M15" s="56" t="n">
        <x:v>0.108</x:v>
      </x:c>
      <x:c r="N15" s="58" t="n">
        <x:v>819</x:v>
      </x:c>
      <x:c r="O15" s="56" t="n">
        <x:v>0.439</x:v>
      </x:c>
      <x:c r="P15" s="58" t="n">
        <x:v>324</x:v>
      </x:c>
      <x:c r="Q15" s="56" t="n">
        <x:v>0.92</x:v>
      </x:c>
      <x:c r="R15" s="10" t="str">
        <x:v>Figure 2 transition POS; Figure 5b LOA</x:v>
      </x:c>
      <x:c r="S15" s="10" t="str">
        <x:v>7, 11</x:v>
      </x:c>
      <x:c r="T15" s="10" t="str">
        <x:v>Disease-area benchmark from 14 major disease groupings plus All indications.</x:v>
      </x:c>
    </x:row>
    <x:row r="16">
      <x:c r="A16" s="10" t="str">
        <x:v>Cardiovascular</x:v>
      </x:c>
      <x:c r="B16" s="58" t="n">
        <x:v>214</x:v>
      </x:c>
      <x:c r="C16" s="56" t="n">
        <x:v>0.5</x:v>
      </x:c>
      <x:c r="D16" s="58" t="n">
        <x:v>252</x:v>
      </x:c>
      <x:c r="E16" s="56" t="n">
        <x:v>0.21</x:v>
      </x:c>
      <x:c r="F16" s="58" t="n">
        <x:v>105</x:v>
      </x:c>
      <x:c r="G16" s="56" t="n">
        <x:v>0.552</x:v>
      </x:c>
      <x:c r="H16" s="58" t="n">
        <x:v>80</x:v>
      </x:c>
      <x:c r="I16" s="56" t="n">
        <x:v>0.825</x:v>
      </x:c>
      <x:c r="J16" s="58" t="n">
        <x:v>651</x:v>
      </x:c>
      <x:c r="K16" s="56" t="n">
        <x:v>0.048</x:v>
      </x:c>
      <x:c r="L16" s="58" t="n">
        <x:v>437</x:v>
      </x:c>
      <x:c r="M16" s="56" t="n">
        <x:v>0.096</x:v>
      </x:c>
      <x:c r="N16" s="58" t="n">
        <x:v>185</x:v>
      </x:c>
      <x:c r="O16" s="56" t="n">
        <x:v>0.456</x:v>
      </x:c>
      <x:c r="P16" s="58" t="n">
        <x:v>80</x:v>
      </x:c>
      <x:c r="Q16" s="56" t="n">
        <x:v>0.825</x:v>
      </x:c>
      <x:c r="R16" s="10" t="str">
        <x:v>Figure 2 transition POS; Figure 5b LOA</x:v>
      </x:c>
      <x:c r="S16" s="10" t="str">
        <x:v>7, 11</x:v>
      </x:c>
      <x:c r="T16" s="10" t="str">
        <x:v>Disease-area benchmark from 14 major disease groupings plus All indications.</x:v>
      </x:c>
    </x:row>
    <x:row r="17">
      <x:c r="A17" s="10" t="str">
        <x:v>Urology</x:v>
      </x:c>
      <x:c r="B17" s="58" t="n">
        <x:v>22</x:v>
      </x:c>
      <x:c r="C17" s="56" t="n">
        <x:v>0.409</x:v>
      </x:c>
      <x:c r="D17" s="58" t="n">
        <x:v>40</x:v>
      </x:c>
      <x:c r="E17" s="56" t="n">
        <x:v>0.15</x:v>
      </x:c>
      <x:c r="F17" s="58" t="n">
        <x:v>13</x:v>
      </x:c>
      <x:c r="G17" s="56" t="n">
        <x:v>0.692</x:v>
      </x:c>
      <x:c r="H17" s="58" t="n">
        <x:v>13</x:v>
      </x:c>
      <x:c r="I17" s="56" t="n">
        <x:v>0.846</x:v>
      </x:c>
      <x:c r="J17" s="58" t="n">
        <x:v>88</x:v>
      </x:c>
      <x:c r="K17" s="56" t="n">
        <x:v>0.036</x:v>
      </x:c>
      <x:c r="L17" s="58" t="n">
        <x:v>66</x:v>
      </x:c>
      <x:c r="M17" s="56" t="n">
        <x:v>0.088</x:v>
      </x:c>
      <x:c r="N17" s="58" t="n">
        <x:v>26</x:v>
      </x:c>
      <x:c r="O17" s="56" t="n">
        <x:v>0.586</x:v>
      </x:c>
      <x:c r="P17" s="58" t="n">
        <x:v>13</x:v>
      </x:c>
      <x:c r="Q17" s="56" t="n">
        <x:v>0.846</x:v>
      </x:c>
      <x:c r="R17" s="10" t="str">
        <x:v>Figure 2 transition POS; Figure 5b LOA</x:v>
      </x:c>
      <x:c r="S17" s="10" t="str">
        <x:v>7, 11</x:v>
      </x:c>
      <x:c r="T17" s="10" t="str">
        <x:v>Disease-area benchmark from 14 major disease groupings plus All indications.</x:v>
      </x:c>
    </x:row>
  </x:sheetData>
  <x:conditionalFormatting sqref="C2:C1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1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17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2:I17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2:K17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2:M17">
    <x:cfRule type="colorScale" priority="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2:O17">
    <x:cfRule type="colorScale" priority="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2:Q17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f167ae098242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4" hidden="0" customWidth="1"/>
    <x:col min="19" max="19" width="15" hidden="0" customWidth="1"/>
    <x:col min="20" max="20" width="54" hidden="0" customWidth="1"/>
  </x:cols>
  <x:sheetData>
    <x:row r="1">
      <x:c r="A1" s="54" t="str">
        <x:v>Benchmark</x:v>
      </x:c>
      <x:c r="B1" s="54" t="str">
        <x:v>Phase I to II n</x:v>
      </x:c>
      <x:c r="C1" s="54" t="str">
        <x:v>Phase I to II POS</x:v>
      </x:c>
      <x:c r="D1" s="54" t="str">
        <x:v>Phase II to III n</x:v>
      </x:c>
      <x:c r="E1" s="54" t="str">
        <x:v>Phase II to III POS</x:v>
      </x:c>
      <x:c r="F1" s="54" t="str">
        <x:v>Phase III to NDA/BLA n</x:v>
      </x:c>
      <x:c r="G1" s="54" t="str">
        <x:v>Phase III to NDA/BLA POS</x:v>
      </x:c>
      <x:c r="H1" s="54" t="str">
        <x:v>NDA/BLA n</x:v>
      </x:c>
      <x:c r="I1" s="54" t="str">
        <x:v>NDA/BLA POS</x:v>
      </x:c>
      <x:c r="J1" s="54" t="str">
        <x:v>Phase I n</x:v>
      </x:c>
      <x:c r="K1" s="54" t="str">
        <x:v>Phase I to Approval</x:v>
      </x:c>
      <x:c r="L1" s="54" t="str">
        <x:v>Phase II n</x:v>
      </x:c>
      <x:c r="M1" s="54" t="str">
        <x:v>Phase II to Approval</x:v>
      </x:c>
      <x:c r="N1" s="54" t="str">
        <x:v>Phase III n</x:v>
      </x:c>
      <x:c r="O1" s="54" t="str">
        <x:v>Phase III to Approval</x:v>
      </x:c>
      <x:c r="P1" s="54" t="str">
        <x:v>NDA/BLA Approval n</x:v>
      </x:c>
      <x:c r="Q1" s="54" t="str">
        <x:v>NDA/BLA to Approval</x:v>
      </x:c>
      <x:c r="R1" s="54" t="str">
        <x:v>Source Figure</x:v>
      </x:c>
      <x:c r="S1" s="54" t="str">
        <x:v>Source Pages</x:v>
      </x:c>
      <x:c r="T1" s="54" t="str">
        <x:v>Notes</x:v>
      </x:c>
    </x:row>
    <x:row r="2">
      <x:c r="A2" s="10" t="str">
        <x:v>CAR-T</x:v>
      </x:c>
      <x:c r="B2" s="58" t="n">
        <x:v>43</x:v>
      </x:c>
      <x:c r="C2" s="56" t="n">
        <x:v>0.442</x:v>
      </x:c>
      <x:c r="D2" s="58" t="n">
        <x:v>17</x:v>
      </x:c>
      <x:c r="E2" s="56" t="n">
        <x:v>0.588</x:v>
      </x:c>
      <x:c r="F2" s="58" t="n">
        <x:v>3</x:v>
      </x:c>
      <x:c r="G2" s="56" t="n">
        <x:v>0.667</x:v>
      </x:c>
      <x:c r="H2" s="58" t="n">
        <x:v>4</x:v>
      </x:c>
      <x:c r="I2" s="56" t="n">
        <x:v>1</x:v>
      </x:c>
      <x:c r="J2" s="58" t="n">
        <x:v>67</x:v>
      </x:c>
      <x:c r="K2" s="56" t="n">
        <x:v>0.173</x:v>
      </x:c>
      <x:c r="L2" s="58" t="n">
        <x:v>24</x:v>
      </x:c>
      <x:c r="M2" s="56" t="n">
        <x:v>0.392</x:v>
      </x:c>
      <x:c r="N2" s="58" t="n">
        <x:v>7</x:v>
      </x:c>
      <x:c r="O2" s="56" t="n">
        <x:v>0.667</x:v>
      </x:c>
      <x:c r="P2" s="58" t="n">
        <x:v>4</x:v>
      </x:c>
      <x:c r="Q2" s="56" t="n">
        <x:v>1</x:v>
      </x:c>
      <x:c r="R2" s="10" t="str">
        <x:v>Figure 10b</x:v>
      </x:c>
      <x:c r="S2" s="10" t="str">
        <x:v>17</x:v>
      </x:c>
      <x:c r="T2" s="10" t="str">
        <x:v>Drug modality benchmark for selected novel modalities.</x:v>
      </x:c>
    </x:row>
    <x:row r="3">
      <x:c r="A3" s="10" t="str">
        <x:v>siRNA/RNAi</x:v>
      </x:c>
      <x:c r="B3" s="58" t="n">
        <x:v>40</x:v>
      </x:c>
      <x:c r="C3" s="56" t="n">
        <x:v>0.7</x:v>
      </x:c>
      <x:c r="D3" s="58" t="n">
        <x:v>38</x:v>
      </x:c>
      <x:c r="E3" s="56" t="n">
        <x:v>0.289</x:v>
      </x:c>
      <x:c r="F3" s="58" t="n">
        <x:v>6</x:v>
      </x:c>
      <x:c r="G3" s="56" t="n">
        <x:v>0.667</x:v>
      </x:c>
      <x:c r="H3" s="58" t="n">
        <x:v>3</x:v>
      </x:c>
      <x:c r="I3" s="56" t="n">
        <x:v>1</x:v>
      </x:c>
      <x:c r="J3" s="58" t="n">
        <x:v>87</x:v>
      </x:c>
      <x:c r="K3" s="56" t="n">
        <x:v>0.135</x:v>
      </x:c>
      <x:c r="L3" s="58" t="n">
        <x:v>47</x:v>
      </x:c>
      <x:c r="M3" s="56" t="n">
        <x:v>0.193</x:v>
      </x:c>
      <x:c r="N3" s="58" t="n">
        <x:v>9</x:v>
      </x:c>
      <x:c r="O3" s="56" t="n">
        <x:v>0.667</x:v>
      </x:c>
      <x:c r="P3" s="58" t="n">
        <x:v>3</x:v>
      </x:c>
      <x:c r="Q3" s="56" t="n">
        <x:v>1</x:v>
      </x:c>
      <x:c r="R3" s="10" t="str">
        <x:v>Figure 10b</x:v>
      </x:c>
      <x:c r="S3" s="10" t="str">
        <x:v>17</x:v>
      </x:c>
      <x:c r="T3" s="10" t="str">
        <x:v>Drug modality benchmark for selected novel modalities.</x:v>
      </x:c>
    </x:row>
    <x:row r="4">
      <x:c r="A4" s="10" t="str">
        <x:v>Monoclonal antibody</x:v>
      </x:c>
      <x:c r="B4" s="58" t="n">
        <x:v>804</x:v>
      </x:c>
      <x:c r="C4" s="56" t="n">
        <x:v>0.547</x:v>
      </x:c>
      <x:c r="D4" s="58" t="n">
        <x:v>740</x:v>
      </x:c>
      <x:c r="E4" s="56" t="n">
        <x:v>0.341</x:v>
      </x:c>
      <x:c r="F4" s="58" t="n">
        <x:v>310</x:v>
      </x:c>
      <x:c r="G4" s="56" t="n">
        <x:v>0.681</x:v>
      </x:c>
      <x:c r="H4" s="58" t="n">
        <x:v>282</x:v>
      </x:c>
      <x:c r="I4" s="56" t="n">
        <x:v>0.954</x:v>
      </x:c>
      <x:c r="J4" s="58" t="n">
        <x:v>2136</x:v>
      </x:c>
      <x:c r="K4" s="56" t="n">
        <x:v>0.121</x:v>
      </x:c>
      <x:c r="L4" s="58" t="n">
        <x:v>1332</x:v>
      </x:c>
      <x:c r="M4" s="56" t="n">
        <x:v>0.221</x:v>
      </x:c>
      <x:c r="N4" s="58" t="n">
        <x:v>592</x:v>
      </x:c>
      <x:c r="O4" s="56" t="n">
        <x:v>0.649</x:v>
      </x:c>
      <x:c r="P4" s="58" t="n">
        <x:v>282</x:v>
      </x:c>
      <x:c r="Q4" s="56" t="n">
        <x:v>0.954</x:v>
      </x:c>
      <x:c r="R4" s="10" t="str">
        <x:v>Figure 10b</x:v>
      </x:c>
      <x:c r="S4" s="10" t="str">
        <x:v>17</x:v>
      </x:c>
      <x:c r="T4" s="10" t="str">
        <x:v>Drug modality benchmark for selected novel modalities.</x:v>
      </x:c>
    </x:row>
    <x:row r="5">
      <x:c r="A5" s="10" t="str">
        <x:v>ADCs</x:v>
      </x:c>
      <x:c r="B5" s="58" t="n">
        <x:v>103</x:v>
      </x:c>
      <x:c r="C5" s="56" t="n">
        <x:v>0.417</x:v>
      </x:c>
      <x:c r="D5" s="58" t="n">
        <x:v>53</x:v>
      </x:c>
      <x:c r="E5" s="56" t="n">
        <x:v>0.415</x:v>
      </x:c>
      <x:c r="F5" s="58" t="n">
        <x:v>16</x:v>
      </x:c>
      <x:c r="G5" s="56" t="n">
        <x:v>0.625</x:v>
      </x:c>
      <x:c r="H5" s="58" t="n">
        <x:v>12</x:v>
      </x:c>
      <x:c r="I5" s="56" t="n">
        <x:v>1</x:v>
      </x:c>
      <x:c r="J5" s="58" t="n">
        <x:v>184</x:v>
      </x:c>
      <x:c r="K5" s="56" t="n">
        <x:v>0.108</x:v>
      </x:c>
      <x:c r="L5" s="58" t="n">
        <x:v>81</x:v>
      </x:c>
      <x:c r="M5" s="56" t="n">
        <x:v>0.259</x:v>
      </x:c>
      <x:c r="N5" s="58" t="n">
        <x:v>28</x:v>
      </x:c>
      <x:c r="O5" s="56" t="n">
        <x:v>0.625</x:v>
      </x:c>
      <x:c r="P5" s="58" t="n">
        <x:v>12</x:v>
      </x:c>
      <x:c r="Q5" s="56" t="n">
        <x:v>1</x:v>
      </x:c>
      <x:c r="R5" s="10" t="str">
        <x:v>Figure 10b</x:v>
      </x:c>
      <x:c r="S5" s="10" t="str">
        <x:v>17</x:v>
      </x:c>
      <x:c r="T5" s="10" t="str">
        <x:v>Drug modality benchmark for selected novel modalities.</x:v>
      </x:c>
    </x:row>
    <x:row r="6">
      <x:c r="A6" s="10" t="str">
        <x:v>Gene therapy</x:v>
      </x:c>
      <x:c r="B6" s="58" t="n">
        <x:v>27</x:v>
      </x:c>
      <x:c r="C6" s="56" t="n">
        <x:v>0.519</x:v>
      </x:c>
      <x:c r="D6" s="58" t="n">
        <x:v>57</x:v>
      </x:c>
      <x:c r="E6" s="56" t="n">
        <x:v>0.386</x:v>
      </x:c>
      <x:c r="F6" s="58" t="n">
        <x:v>10</x:v>
      </x:c>
      <x:c r="G6" s="56" t="n">
        <x:v>0.5</x:v>
      </x:c>
      <x:c r="H6" s="58" t="n">
        <x:v>2</x:v>
      </x:c>
      <x:c r="I6" s="56" t="n">
        <x:v>1</x:v>
      </x:c>
      <x:c r="J6" s="58" t="n">
        <x:v>96</x:v>
      </x:c>
      <x:c r="K6" s="56" t="n">
        <x:v>0.1</x:v>
      </x:c>
      <x:c r="L6" s="58" t="n">
        <x:v>69</x:v>
      </x:c>
      <x:c r="M6" s="56" t="n">
        <x:v>0.193</x:v>
      </x:c>
      <x:c r="N6" s="58" t="n">
        <x:v>12</x:v>
      </x:c>
      <x:c r="O6" s="56" t="n">
        <x:v>0.5</x:v>
      </x:c>
      <x:c r="P6" s="58" t="n">
        <x:v>2</x:v>
      </x:c>
      <x:c r="Q6" s="56" t="n">
        <x:v>1</x:v>
      </x:c>
      <x:c r="R6" s="10" t="str">
        <x:v>Figure 10b</x:v>
      </x:c>
      <x:c r="S6" s="10" t="str">
        <x:v>17</x:v>
      </x:c>
      <x:c r="T6" s="10" t="str">
        <x:v>Drug modality benchmark for selected novel modalities.</x:v>
      </x:c>
    </x:row>
    <x:row r="7">
      <x:c r="A7" s="10" t="str">
        <x:v>Vaccine</x:v>
      </x:c>
      <x:c r="B7" s="58" t="n">
        <x:v>129</x:v>
      </x:c>
      <x:c r="C7" s="56" t="n">
        <x:v>0.527</x:v>
      </x:c>
      <x:c r="D7" s="58" t="n">
        <x:v>117</x:v>
      </x:c>
      <x:c r="E7" s="56" t="n">
        <x:v>0.316</x:v>
      </x:c>
      <x:c r="F7" s="58" t="n">
        <x:v>43</x:v>
      </x:c>
      <x:c r="G7" s="56" t="n">
        <x:v>0.581</x:v>
      </x:c>
      <x:c r="H7" s="58" t="n">
        <x:v>27</x:v>
      </x:c>
      <x:c r="I7" s="56" t="n">
        <x:v>1</x:v>
      </x:c>
      <x:c r="J7" s="58" t="n">
        <x:v>316</x:v>
      </x:c>
      <x:c r="K7" s="56" t="n">
        <x:v>0.097</x:v>
      </x:c>
      <x:c r="L7" s="58" t="n">
        <x:v>187</x:v>
      </x:c>
      <x:c r="M7" s="56" t="n">
        <x:v>0.184</x:v>
      </x:c>
      <x:c r="N7" s="58" t="n">
        <x:v>70</x:v>
      </x:c>
      <x:c r="O7" s="56" t="n">
        <x:v>0.581</x:v>
      </x:c>
      <x:c r="P7" s="58" t="n">
        <x:v>27</x:v>
      </x:c>
      <x:c r="Q7" s="56" t="n">
        <x:v>1</x:v>
      </x:c>
      <x:c r="R7" s="10" t="str">
        <x:v>Figure 10b</x:v>
      </x:c>
      <x:c r="S7" s="10" t="str">
        <x:v>17</x:v>
      </x:c>
      <x:c r="T7" s="10" t="str">
        <x:v>Drug modality benchmark for selected novel modalities.</x:v>
      </x:c>
    </x:row>
    <x:row r="8">
      <x:c r="A8" s="10" t="str">
        <x:v>Protein</x:v>
      </x:c>
      <x:c r="B8" s="58" t="n">
        <x:v>246</x:v>
      </x:c>
      <x:c r="C8" s="56" t="n">
        <x:v>0.516</x:v>
      </x:c>
      <x:c r="D8" s="58" t="n">
        <x:v>288</x:v>
      </x:c>
      <x:c r="E8" s="56" t="n">
        <x:v>0.33</x:v>
      </x:c>
      <x:c r="F8" s="58" t="n">
        <x:v>149</x:v>
      </x:c>
      <x:c r="G8" s="56" t="n">
        <x:v>0.617</x:v>
      </x:c>
      <x:c r="H8" s="58" t="n">
        <x:v>117</x:v>
      </x:c>
      <x:c r="I8" s="56" t="n">
        <x:v>0.897</x:v>
      </x:c>
      <x:c r="J8" s="58" t="n">
        <x:v>800</x:v>
      </x:c>
      <x:c r="K8" s="56" t="n">
        <x:v>0.094</x:v>
      </x:c>
      <x:c r="L8" s="58" t="n">
        <x:v>554</x:v>
      </x:c>
      <x:c r="M8" s="56" t="n">
        <x:v>0.183</x:v>
      </x:c>
      <x:c r="N8" s="58" t="n">
        <x:v>266</x:v>
      </x:c>
      <x:c r="O8" s="56" t="n">
        <x:v>0.554</x:v>
      </x:c>
      <x:c r="P8" s="58" t="n">
        <x:v>117</x:v>
      </x:c>
      <x:c r="Q8" s="56" t="n">
        <x:v>0.897</x:v>
      </x:c>
      <x:c r="R8" s="10" t="str">
        <x:v>Figure 10b</x:v>
      </x:c>
      <x:c r="S8" s="10" t="str">
        <x:v>17</x:v>
      </x:c>
      <x:c r="T8" s="10" t="str">
        <x:v>Drug modality benchmark for selected novel modalities.</x:v>
      </x:c>
    </x:row>
    <x:row r="9">
      <x:c r="A9" s="10" t="str">
        <x:v>Peptide</x:v>
      </x:c>
      <x:c r="B9" s="58" t="n">
        <x:v>234</x:v>
      </x:c>
      <x:c r="C9" s="56" t="n">
        <x:v>0.53</x:v>
      </x:c>
      <x:c r="D9" s="58" t="n">
        <x:v>218</x:v>
      </x:c>
      <x:c r="E9" s="56" t="n">
        <x:v>0.284</x:v>
      </x:c>
      <x:c r="F9" s="58" t="n">
        <x:v>100</x:v>
      </x:c>
      <x:c r="G9" s="56" t="n">
        <x:v>0.6</x:v>
      </x:c>
      <x:c r="H9" s="58" t="n">
        <x:v>67</x:v>
      </x:c>
      <x:c r="I9" s="56" t="n">
        <x:v>0.881</x:v>
      </x:c>
      <x:c r="J9" s="58" t="n">
        <x:v>619</x:v>
      </x:c>
      <x:c r="K9" s="56" t="n">
        <x:v>0.08</x:v>
      </x:c>
      <x:c r="L9" s="58" t="n">
        <x:v>385</x:v>
      </x:c>
      <x:c r="M9" s="56" t="n">
        <x:v>0.15</x:v>
      </x:c>
      <x:c r="N9" s="58" t="n">
        <x:v>167</x:v>
      </x:c>
      <x:c r="O9" s="56" t="n">
        <x:v>0.528</x:v>
      </x:c>
      <x:c r="P9" s="58" t="n">
        <x:v>67</x:v>
      </x:c>
      <x:c r="Q9" s="56" t="n">
        <x:v>0.881</x:v>
      </x:c>
      <x:c r="R9" s="10" t="str">
        <x:v>Figure 10b</x:v>
      </x:c>
      <x:c r="S9" s="10" t="str">
        <x:v>17</x:v>
      </x:c>
      <x:c r="T9" s="10" t="str">
        <x:v>Drug modality benchmark for selected novel modalities.</x:v>
      </x:c>
    </x:row>
    <x:row r="10">
      <x:c r="A10" s="10" t="str">
        <x:v>Small molecule</x:v>
      </x:c>
      <x:c r="B10" s="58" t="n">
        <x:v>2308</x:v>
      </x:c>
      <x:c r="C10" s="56" t="n">
        <x:v>0.526</x:v>
      </x:c>
      <x:c r="D10" s="58" t="n">
        <x:v>2896</x:v>
      </x:c>
      <x:c r="E10" s="56" t="n">
        <x:v>0.28</x:v>
      </x:c>
      <x:c r="F10" s="58" t="n">
        <x:v>1118</x:v>
      </x:c>
      <x:c r="G10" s="56" t="n">
        <x:v>0.569</x:v>
      </x:c>
      <x:c r="H10" s="58" t="n">
        <x:v>849</x:v>
      </x:c>
      <x:c r="I10" s="56" t="n">
        <x:v>0.895</x:v>
      </x:c>
      <x:c r="J10" s="58" t="n">
        <x:v>7171</x:v>
      </x:c>
      <x:c r="K10" s="56" t="n">
        <x:v>0.075</x:v>
      </x:c>
      <x:c r="L10" s="58" t="n">
        <x:v>4863</x:v>
      </x:c>
      <x:c r="M10" s="56" t="n">
        <x:v>0.143</x:v>
      </x:c>
      <x:c r="N10" s="58" t="n">
        <x:v>1967</x:v>
      </x:c>
      <x:c r="O10" s="56" t="n">
        <x:v>0.509</x:v>
      </x:c>
      <x:c r="P10" s="58" t="n">
        <x:v>849</x:v>
      </x:c>
      <x:c r="Q10" s="56" t="n">
        <x:v>0.895</x:v>
      </x:c>
      <x:c r="R10" s="10" t="str">
        <x:v>Figure 10b</x:v>
      </x:c>
      <x:c r="S10" s="10" t="str">
        <x:v>17</x:v>
      </x:c>
      <x:c r="T10" s="10" t="str">
        <x:v>Drug modality benchmark for selected novel modalities.</x:v>
      </x:c>
    </x:row>
    <x:row r="11">
      <x:c r="A11" s="10" t="str">
        <x:v>Antisense</x:v>
      </x:c>
      <x:c r="B11" s="58" t="n">
        <x:v>69</x:v>
      </x:c>
      <x:c r="C11" s="56" t="n">
        <x:v>0.609</x:v>
      </x:c>
      <x:c r="D11" s="58" t="n">
        <x:v>70</x:v>
      </x:c>
      <x:c r="E11" s="56" t="n">
        <x:v>0.2</x:v>
      </x:c>
      <x:c r="F11" s="58" t="n">
        <x:v>14</x:v>
      </x:c>
      <x:c r="G11" s="56" t="n">
        <x:v>0.643</x:v>
      </x:c>
      <x:c r="H11" s="58" t="n">
        <x:v>9</x:v>
      </x:c>
      <x:c r="I11" s="56" t="n">
        <x:v>0.667</x:v>
      </x:c>
      <x:c r="J11" s="58" t="n">
        <x:v>162</x:v>
      </x:c>
      <x:c r="K11" s="56" t="n">
        <x:v>0.052</x:v>
      </x:c>
      <x:c r="L11" s="58" t="n">
        <x:v>93</x:v>
      </x:c>
      <x:c r="M11" s="56" t="n">
        <x:v>0.086</x:v>
      </x:c>
      <x:c r="N11" s="58" t="n">
        <x:v>23</x:v>
      </x:c>
      <x:c r="O11" s="56" t="n">
        <x:v>0.429</x:v>
      </x:c>
      <x:c r="P11" s="58" t="n">
        <x:v>9</x:v>
      </x:c>
      <x:c r="Q11" s="56" t="n">
        <x:v>0.667</x:v>
      </x:c>
      <x:c r="R11" s="10" t="str">
        <x:v>Figure 10b</x:v>
      </x:c>
      <x:c r="S11" s="10" t="str">
        <x:v>17</x:v>
      </x:c>
      <x:c r="T11" s="10" t="str">
        <x:v>Drug modality benchmark for selected novel modalities.</x:v>
      </x:c>
    </x:row>
  </x:sheetData>
  <x:conditionalFormatting sqref="C2:C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1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2:I11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2:K11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2:M11">
    <x:cfRule type="colorScale" priority="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2:O11">
    <x:cfRule type="colorScale" priority="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2:Q11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b97a0f730ea4e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4" hidden="0" customWidth="1"/>
    <x:col min="19" max="19" width="15" hidden="0" customWidth="1"/>
    <x:col min="20" max="20" width="54" hidden="0" customWidth="1"/>
  </x:cols>
  <x:sheetData>
    <x:row r="1">
      <x:c r="A1" s="54" t="str">
        <x:v>Benchmark</x:v>
      </x:c>
      <x:c r="B1" s="54" t="str">
        <x:v>Phase I to II n</x:v>
      </x:c>
      <x:c r="C1" s="54" t="str">
        <x:v>Phase I to II POS</x:v>
      </x:c>
      <x:c r="D1" s="54" t="str">
        <x:v>Phase II to III n</x:v>
      </x:c>
      <x:c r="E1" s="54" t="str">
        <x:v>Phase II to III POS</x:v>
      </x:c>
      <x:c r="F1" s="54" t="str">
        <x:v>Phase III to NDA/BLA n</x:v>
      </x:c>
      <x:c r="G1" s="54" t="str">
        <x:v>Phase III to NDA/BLA POS</x:v>
      </x:c>
      <x:c r="H1" s="54" t="str">
        <x:v>NDA/BLA n</x:v>
      </x:c>
      <x:c r="I1" s="54" t="str">
        <x:v>NDA/BLA POS</x:v>
      </x:c>
      <x:c r="J1" s="54" t="str">
        <x:v>Phase I n</x:v>
      </x:c>
      <x:c r="K1" s="54" t="str">
        <x:v>Phase I to Approval</x:v>
      </x:c>
      <x:c r="L1" s="54" t="str">
        <x:v>Phase II n</x:v>
      </x:c>
      <x:c r="M1" s="54" t="str">
        <x:v>Phase II to Approval</x:v>
      </x:c>
      <x:c r="N1" s="54" t="str">
        <x:v>Phase III n</x:v>
      </x:c>
      <x:c r="O1" s="54" t="str">
        <x:v>Phase III to Approval</x:v>
      </x:c>
      <x:c r="P1" s="54" t="str">
        <x:v>NDA/BLA Approval n</x:v>
      </x:c>
      <x:c r="Q1" s="54" t="str">
        <x:v>NDA/BLA to Approval</x:v>
      </x:c>
      <x:c r="R1" s="54" t="str">
        <x:v>Source Figure</x:v>
      </x:c>
      <x:c r="S1" s="54" t="str">
        <x:v>Source Pages</x:v>
      </x:c>
      <x:c r="T1" s="54" t="str">
        <x:v>Notes</x:v>
      </x:c>
    </x:row>
    <x:row r="2">
      <x:c r="A2" s="10" t="str">
        <x:v>Novel</x:v>
      </x:c>
      <x:c r="B2" s="58" t="n">
        <x:v>3933</x:v>
      </x:c>
      <x:c r="C2" s="56" t="n">
        <x:v>0.513</x:v>
      </x:c>
      <x:c r="D2" s="58" t="n">
        <x:v>4394</x:v>
      </x:c>
      <x:c r="E2" s="56" t="n">
        <x:v>0.279</x:v>
      </x:c>
      <x:c r="F2" s="58" t="n">
        <x:v>1374</x:v>
      </x:c>
      <x:c r="G2" s="56" t="n">
        <x:v>0.529</x:v>
      </x:c>
      <x:c r="H2" s="58" t="n">
        <x:v>826</x:v>
      </x:c>
      <x:c r="I2" s="56" t="n">
        <x:v>0.896</x:v>
      </x:c>
      <x:c r="J2" s="58" t="n">
        <x:v>10527</x:v>
      </x:c>
      <x:c r="K2" s="56" t="n">
        <x:v>0.068</x:v>
      </x:c>
      <x:c r="L2" s="58" t="n">
        <x:v>6594</x:v>
      </x:c>
      <x:c r="M2" s="56" t="n">
        <x:v>0.132</x:v>
      </x:c>
      <x:c r="N2" s="58" t="n">
        <x:v>2200</x:v>
      </x:c>
      <x:c r="O2" s="56" t="n">
        <x:v>0.474</x:v>
      </x:c>
      <x:c r="P2" s="58" t="n">
        <x:v>826</x:v>
      </x:c>
      <x:c r="Q2" s="56" t="n">
        <x:v>0.896</x:v>
      </x:c>
      <x:c r="R2" s="10" t="str">
        <x:v>Figure 9</x:v>
      </x:c>
      <x:c r="S2" s="10" t="str">
        <x:v>15</x:v>
      </x:c>
      <x:c r="T2" s="10" t="str">
        <x:v>Class and novelty benchmark. Novel includes NME, biologic, vaccine; off-patent includes non-NME and biosimilar.</x:v>
      </x:c>
    </x:row>
    <x:row r="3">
      <x:c r="A3" s="10" t="str">
        <x:v>NME</x:v>
      </x:c>
      <x:c r="B3" s="58" t="n">
        <x:v>2505</x:v>
      </x:c>
      <x:c r="C3" s="56" t="n">
        <x:v>0.506</x:v>
      </x:c>
      <x:c r="D3" s="58" t="n">
        <x:v>2924</x:v>
      </x:c>
      <x:c r="E3" s="56" t="n">
        <x:v>0.256</x:v>
      </x:c>
      <x:c r="F3" s="58" t="n">
        <x:v>869</x:v>
      </x:c>
      <x:c r="G3" s="56" t="n">
        <x:v>0.506</x:v>
      </x:c>
      <x:c r="H3" s="58" t="n">
        <x:v>505</x:v>
      </x:c>
      <x:c r="I3" s="56" t="n">
        <x:v>0.861</x:v>
      </x:c>
      <x:c r="J3" s="58" t="n">
        <x:v>6803</x:v>
      </x:c>
      <x:c r="K3" s="56" t="n">
        <x:v>0.057</x:v>
      </x:c>
      <x:c r="L3" s="58" t="n">
        <x:v>4298</x:v>
      </x:c>
      <x:c r="M3" s="56" t="n">
        <x:v>0.112</x:v>
      </x:c>
      <x:c r="N3" s="58" t="n">
        <x:v>1374</x:v>
      </x:c>
      <x:c r="O3" s="56" t="n">
        <x:v>0.436</x:v>
      </x:c>
      <x:c r="P3" s="58" t="n">
        <x:v>505</x:v>
      </x:c>
      <x:c r="Q3" s="56" t="n">
        <x:v>0.861</x:v>
      </x:c>
      <x:c r="R3" s="10" t="str">
        <x:v>Figure 9</x:v>
      </x:c>
      <x:c r="S3" s="10" t="str">
        <x:v>15</x:v>
      </x:c>
      <x:c r="T3" s="10" t="str">
        <x:v>Class and novelty benchmark. Novel includes NME, biologic, vaccine; off-patent includes non-NME and biosimilar.</x:v>
      </x:c>
    </x:row>
    <x:row r="4">
      <x:c r="A4" s="10" t="str">
        <x:v>Biologic</x:v>
      </x:c>
      <x:c r="B4" s="58" t="n">
        <x:v>1301</x:v>
      </x:c>
      <x:c r="C4" s="56" t="n">
        <x:v>0.525</x:v>
      </x:c>
      <x:c r="D4" s="58" t="n">
        <x:v>1355</x:v>
      </x:c>
      <x:c r="E4" s="56" t="n">
        <x:v>0.324</x:v>
      </x:c>
      <x:c r="F4" s="58" t="n">
        <x:v>462</x:v>
      </x:c>
      <x:c r="G4" s="56" t="n">
        <x:v>0.567</x:v>
      </x:c>
      <x:c r="H4" s="58" t="n">
        <x:v>294</x:v>
      </x:c>
      <x:c r="I4" s="56" t="n">
        <x:v>0.946</x:v>
      </x:c>
      <x:c r="J4" s="58" t="n">
        <x:v>3412</x:v>
      </x:c>
      <x:c r="K4" s="56" t="n">
        <x:v>0.091</x:v>
      </x:c>
      <x:c r="L4" s="58" t="n">
        <x:v>2111</x:v>
      </x:c>
      <x:c r="M4" s="56" t="n">
        <x:v>0.174</x:v>
      </x:c>
      <x:c r="N4" s="58" t="n">
        <x:v>756</x:v>
      </x:c>
      <x:c r="O4" s="56" t="n">
        <x:v>0.536</x:v>
      </x:c>
      <x:c r="P4" s="58" t="n">
        <x:v>294</x:v>
      </x:c>
      <x:c r="Q4" s="56" t="n">
        <x:v>0.946</x:v>
      </x:c>
      <x:c r="R4" s="10" t="str">
        <x:v>Figure 9</x:v>
      </x:c>
      <x:c r="S4" s="10" t="str">
        <x:v>15</x:v>
      </x:c>
      <x:c r="T4" s="10" t="str">
        <x:v>Class and novelty benchmark. Novel includes NME, biologic, vaccine; off-patent includes non-NME and biosimilar.</x:v>
      </x:c>
    </x:row>
    <x:row r="5">
      <x:c r="A5" s="10" t="str">
        <x:v>Vaccine</x:v>
      </x:c>
      <x:c r="B5" s="58" t="n">
        <x:v>127</x:v>
      </x:c>
      <x:c r="C5" s="56" t="n">
        <x:v>0.52</x:v>
      </x:c>
      <x:c r="D5" s="58" t="n">
        <x:v>115</x:v>
      </x:c>
      <x:c r="E5" s="56" t="n">
        <x:v>0.322</x:v>
      </x:c>
      <x:c r="F5" s="58" t="n">
        <x:v>43</x:v>
      </x:c>
      <x:c r="G5" s="56" t="n">
        <x:v>0.581</x:v>
      </x:c>
      <x:c r="H5" s="58" t="n">
        <x:v>27</x:v>
      </x:c>
      <x:c r="I5" s="56" t="n">
        <x:v>1</x:v>
      </x:c>
      <x:c r="J5" s="58" t="n">
        <x:v>312</x:v>
      </x:c>
      <x:c r="K5" s="56" t="n">
        <x:v>0.097</x:v>
      </x:c>
      <x:c r="L5" s="58" t="n">
        <x:v>185</x:v>
      </x:c>
      <x:c r="M5" s="56" t="n">
        <x:v>0.187</x:v>
      </x:c>
      <x:c r="N5" s="58" t="n">
        <x:v>70</x:v>
      </x:c>
      <x:c r="O5" s="56" t="n">
        <x:v>0.581</x:v>
      </x:c>
      <x:c r="P5" s="58" t="n">
        <x:v>27</x:v>
      </x:c>
      <x:c r="Q5" s="56" t="n">
        <x:v>1</x:v>
      </x:c>
      <x:c r="R5" s="10" t="str">
        <x:v>Figure 9</x:v>
      </x:c>
      <x:c r="S5" s="10" t="str">
        <x:v>15</x:v>
      </x:c>
      <x:c r="T5" s="10" t="str">
        <x:v>Class and novelty benchmark. Novel includes NME, biologic, vaccine; off-patent includes non-NME and biosimilar.</x:v>
      </x:c>
    </x:row>
    <x:row r="6">
      <x:c r="A6" s="10" t="str">
        <x:v>Off-Patent</x:v>
      </x:c>
      <x:c r="B6" s="58" t="n">
        <x:v>455</x:v>
      </x:c>
      <x:c r="C6" s="56" t="n">
        <x:v>0.604</x:v>
      </x:c>
      <x:c r="D6" s="58" t="n">
        <x:v>527</x:v>
      </x:c>
      <x:c r="E6" s="56" t="n">
        <x:v>0.376</x:v>
      </x:c>
      <x:c r="F6" s="58" t="n">
        <x:v>552</x:v>
      </x:c>
      <x:c r="G6" s="56" t="n">
        <x:v>0.703</x:v>
      </x:c>
      <x:c r="H6" s="58" t="n">
        <x:v>627</x:v>
      </x:c>
      <x:c r="I6" s="56" t="n">
        <x:v>0.919</x:v>
      </x:c>
      <x:c r="J6" s="58" t="n">
        <x:v>2161</x:v>
      </x:c>
      <x:c r="K6" s="56" t="n">
        <x:v>0.147</x:v>
      </x:c>
      <x:c r="L6" s="58" t="n">
        <x:v>1706</x:v>
      </x:c>
      <x:c r="M6" s="56" t="n">
        <x:v>0.243</x:v>
      </x:c>
      <x:c r="N6" s="58" t="n">
        <x:v>1179</x:v>
      </x:c>
      <x:c r="O6" s="56" t="n">
        <x:v>0.646</x:v>
      </x:c>
      <x:c r="P6" s="58" t="n">
        <x:v>627</x:v>
      </x:c>
      <x:c r="Q6" s="56" t="n">
        <x:v>0.919</x:v>
      </x:c>
      <x:c r="R6" s="10" t="str">
        <x:v>Figure 9</x:v>
      </x:c>
      <x:c r="S6" s="10" t="str">
        <x:v>15</x:v>
      </x:c>
      <x:c r="T6" s="10" t="str">
        <x:v>Class and novelty benchmark. Novel includes NME, biologic, vaccine; off-patent includes non-NME and biosimilar.</x:v>
      </x:c>
    </x:row>
    <x:row r="7">
      <x:c r="A7" s="10" t="str">
        <x:v>Non-NME</x:v>
      </x:c>
      <x:c r="B7" s="58" t="n">
        <x:v>395</x:v>
      </x:c>
      <x:c r="C7" s="56" t="n">
        <x:v>0.575</x:v>
      </x:c>
      <x:c r="D7" s="58" t="n">
        <x:v>523</x:v>
      </x:c>
      <x:c r="E7" s="56" t="n">
        <x:v>0.375</x:v>
      </x:c>
      <x:c r="F7" s="58" t="n">
        <x:v>471</x:v>
      </x:c>
      <x:c r="G7" s="56" t="n">
        <x:v>0.675</x:v>
      </x:c>
      <x:c r="H7" s="58" t="n">
        <x:v>495</x:v>
      </x:c>
      <x:c r="I7" s="56" t="n">
        <x:v>0.915</x:v>
      </x:c>
      <x:c r="J7" s="58" t="n">
        <x:v>1884</x:v>
      </x:c>
      <x:c r="K7" s="56" t="n">
        <x:v>0.133</x:v>
      </x:c>
      <x:c r="L7" s="58" t="n">
        <x:v>1489</x:v>
      </x:c>
      <x:c r="M7" s="56" t="n">
        <x:v>0.232</x:v>
      </x:c>
      <x:c r="N7" s="58" t="n">
        <x:v>966</x:v>
      </x:c>
      <x:c r="O7" s="56" t="n">
        <x:v>0.618</x:v>
      </x:c>
      <x:c r="P7" s="58" t="n">
        <x:v>495</x:v>
      </x:c>
      <x:c r="Q7" s="56" t="n">
        <x:v>0.915</x:v>
      </x:c>
      <x:c r="R7" s="10" t="str">
        <x:v>Figure 9</x:v>
      </x:c>
      <x:c r="S7" s="10" t="str">
        <x:v>15</x:v>
      </x:c>
      <x:c r="T7" s="10" t="str">
        <x:v>Class and novelty benchmark. Novel includes NME, biologic, vaccine; off-patent includes non-NME and biosimilar.</x:v>
      </x:c>
    </x:row>
    <x:row r="8">
      <x:c r="A8" s="10" t="str">
        <x:v>Biosimilar</x:v>
      </x:c>
      <x:c r="B8" s="58" t="n">
        <x:v>60</x:v>
      </x:c>
      <x:c r="C8" s="56" t="n">
        <x:v>0.8</x:v>
      </x:c>
      <x:c r="D8" s="58" t="n">
        <x:v>4</x:v>
      </x:c>
      <x:c r="E8" s="56" t="n">
        <x:v>0.5</x:v>
      </x:c>
      <x:c r="F8" s="58" t="n">
        <x:v>81</x:v>
      </x:c>
      <x:c r="G8" s="56" t="n">
        <x:v>0.864</x:v>
      </x:c>
      <x:c r="H8" s="58" t="n">
        <x:v>132</x:v>
      </x:c>
      <x:c r="I8" s="56" t="n">
        <x:v>0.932</x:v>
      </x:c>
      <x:c r="J8" s="58" t="n">
        <x:v>277</x:v>
      </x:c>
      <x:c r="K8" s="56" t="n">
        <x:v>0.322</x:v>
      </x:c>
      <x:c r="L8" s="58" t="n">
        <x:v>217</x:v>
      </x:c>
      <x:c r="M8" s="56" t="n">
        <x:v>0.403</x:v>
      </x:c>
      <x:c r="N8" s="58" t="n">
        <x:v>213</x:v>
      </x:c>
      <x:c r="O8" s="56" t="n">
        <x:v>0.805</x:v>
      </x:c>
      <x:c r="P8" s="58" t="n">
        <x:v>132</x:v>
      </x:c>
      <x:c r="Q8" s="56" t="n">
        <x:v>0.932</x:v>
      </x:c>
      <x:c r="R8" s="10" t="str">
        <x:v>Figure 9</x:v>
      </x:c>
      <x:c r="S8" s="10" t="str">
        <x:v>15</x:v>
      </x:c>
      <x:c r="T8" s="10" t="str">
        <x:v>Class and novelty benchmark. Novel includes NME, biologic, vaccine; off-patent includes non-NME and biosimilar.</x:v>
      </x:c>
    </x:row>
  </x:sheetData>
  <x:conditionalFormatting sqref="C2:C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8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8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2:I8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2:K8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2:M8">
    <x:cfRule type="colorScale" priority="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2:O8">
    <x:cfRule type="colorScale" priority="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2:Q8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dc7ff9f22146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30" hidden="0" customWidth="1"/>
    <x:col min="20" max="20" width="30" hidden="0" customWidth="1"/>
  </x:cols>
  <x:sheetData>
    <x:row r="1">
      <x:c r="A1" s="61" t="str">
        <x:v>Oncology vs Non-oncology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</x:row>
    <x:row r="2">
      <x:c r="A2" s="41" t="str">
        <x:v>Benchmark</x:v>
      </x:c>
      <x:c r="B2" s="41" t="str">
        <x:v>Phase I to II n</x:v>
      </x:c>
      <x:c r="C2" s="41" t="str">
        <x:v>Phase I to II POS</x:v>
      </x:c>
      <x:c r="D2" s="41" t="str">
        <x:v>Phase II to III n</x:v>
      </x:c>
      <x:c r="E2" s="41" t="str">
        <x:v>Phase II to III POS</x:v>
      </x:c>
      <x:c r="F2" s="41" t="str">
        <x:v>Phase III to NDA/BLA n</x:v>
      </x:c>
      <x:c r="G2" s="41" t="str">
        <x:v>Phase III to NDA/BLA POS</x:v>
      </x:c>
      <x:c r="H2" s="41" t="str">
        <x:v>NDA/BLA n</x:v>
      </x:c>
      <x:c r="I2" s="41" t="str">
        <x:v>NDA/BLA POS</x:v>
      </x:c>
      <x:c r="J2" s="41" t="str">
        <x:v>Phase I n</x:v>
      </x:c>
      <x:c r="K2" s="41" t="str">
        <x:v>Phase I to Approval</x:v>
      </x:c>
      <x:c r="L2" s="41" t="str">
        <x:v>Phase II n</x:v>
      </x:c>
      <x:c r="M2" s="41" t="str">
        <x:v>Phase II to Approval</x:v>
      </x:c>
      <x:c r="N2" s="41" t="str">
        <x:v>Phase III n</x:v>
      </x:c>
      <x:c r="O2" s="41" t="str">
        <x:v>Phase III to Approval</x:v>
      </x:c>
      <x:c r="P2" s="41" t="str">
        <x:v>NDA/BLA Approval n</x:v>
      </x:c>
      <x:c r="Q2" s="41" t="str">
        <x:v>NDA/BLA to Approval</x:v>
      </x:c>
      <x:c r="R2" s="41" t="str">
        <x:v>Source Figure</x:v>
      </x:c>
      <x:c r="S2" s="41" t="str">
        <x:v>Source Pages</x:v>
      </x:c>
      <x:c r="T2" s="41" t="str">
        <x:v>Notes</x:v>
      </x:c>
    </x:row>
    <x:row r="3">
      <x:c r="A3" s="10" t="str">
        <x:v>Oncology</x:v>
      </x:c>
      <x:c r="B3" s="58" t="n">
        <x:v>1628</x:v>
      </x:c>
      <x:c r="C3" s="56" t="n">
        <x:v>0.488</x:v>
      </x:c>
      <x:c r="D3" s="58" t="n">
        <x:v>1732</x:v>
      </x:c>
      <x:c r="E3" s="56" t="n">
        <x:v>0.246</x:v>
      </x:c>
      <x:c r="F3" s="58" t="n">
        <x:v>495</x:v>
      </x:c>
      <x:c r="G3" s="56" t="n">
        <x:v>0.477</x:v>
      </x:c>
      <x:c r="H3" s="58" t="n">
        <x:v>324</x:v>
      </x:c>
      <x:c r="I3" s="56" t="n">
        <x:v>0.92</x:v>
      </x:c>
      <x:c r="J3" s="58" t="n">
        <x:v>4179</x:v>
      </x:c>
      <x:c r="K3" s="56" t="n">
        <x:v>0.053</x:v>
      </x:c>
      <x:c r="L3" s="58" t="n">
        <x:v>2551</x:v>
      </x:c>
      <x:c r="M3" s="56" t="n">
        <x:v>0.108</x:v>
      </x:c>
      <x:c r="N3" s="58" t="n">
        <x:v>819</x:v>
      </x:c>
      <x:c r="O3" s="56" t="n">
        <x:v>0.439</x:v>
      </x:c>
      <x:c r="P3" s="58" t="n">
        <x:v>324</x:v>
      </x:c>
      <x:c r="Q3" s="56" t="n">
        <x:v>0.92</x:v>
      </x:c>
      <x:c r="R3" s="10" t="str">
        <x:v>Figure 6</x:v>
      </x:c>
      <x:c r="S3" s="10" t="str">
        <x:v>12</x:v>
      </x:c>
      <x:c r="T3" s="10" t="str">
        <x:v>Oncology and non-oncology benchmark.</x:v>
      </x:c>
    </x:row>
    <x:row r="4">
      <x:c r="A4" s="10" t="str">
        <x:v>Non-oncology</x:v>
      </x:c>
      <x:c r="B4" s="58" t="n">
        <x:v>2786</x:v>
      </x:c>
      <x:c r="C4" s="56" t="n">
        <x:v>0.539</x:v>
      </x:c>
      <x:c r="D4" s="58" t="n">
        <x:v>3201</x:v>
      </x:c>
      <x:c r="E4" s="56" t="n">
        <x:v>0.312</x:v>
      </x:c>
      <x:c r="F4" s="58" t="n">
        <x:v>1433</x:v>
      </x:c>
      <x:c r="G4" s="56" t="n">
        <x:v>0.613</x:v>
      </x:c>
      <x:c r="H4" s="58" t="n">
        <x:v>1129</x:v>
      </x:c>
      <x:c r="I4" s="56" t="n">
        <x:v>0.902</x:v>
      </x:c>
      <x:c r="J4" s="58" t="n">
        <x:v>8549</x:v>
      </x:c>
      <x:c r="K4" s="56" t="n">
        <x:v>0.093</x:v>
      </x:c>
      <x:c r="L4" s="58" t="n">
        <x:v>5763</x:v>
      </x:c>
      <x:c r="M4" s="56" t="n">
        <x:v>0.172</x:v>
      </x:c>
      <x:c r="N4" s="58" t="n">
        <x:v>2562</x:v>
      </x:c>
      <x:c r="O4" s="56" t="n">
        <x:v>0.553</x:v>
      </x:c>
      <x:c r="P4" s="58" t="n">
        <x:v>1129</x:v>
      </x:c>
      <x:c r="Q4" s="56" t="n">
        <x:v>0.902</x:v>
      </x:c>
      <x:c r="R4" s="10" t="str">
        <x:v>Figure 6</x:v>
      </x:c>
      <x:c r="S4" s="10" t="str">
        <x:v>12</x:v>
      </x:c>
      <x:c r="T4" s="10" t="str">
        <x:v>Oncology and non-oncology benchmark.</x:v>
      </x:c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>
      <x:c r="A6" s="61" t="str">
        <x:v>Oncology Subcategory</x:v>
      </x:c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</x:row>
    <x:row r="7">
      <x:c r="A7" s="41" t="str">
        <x:v>Benchmark</x:v>
      </x:c>
      <x:c r="B7" s="41" t="str">
        <x:v>Phase I to II n</x:v>
      </x:c>
      <x:c r="C7" s="41" t="str">
        <x:v>Phase I to II POS</x:v>
      </x:c>
      <x:c r="D7" s="41" t="str">
        <x:v>Phase II to III n</x:v>
      </x:c>
      <x:c r="E7" s="41" t="str">
        <x:v>Phase II to III POS</x:v>
      </x:c>
      <x:c r="F7" s="41" t="str">
        <x:v>Phase III to NDA/BLA n</x:v>
      </x:c>
      <x:c r="G7" s="41" t="str">
        <x:v>Phase III to NDA/BLA POS</x:v>
      </x:c>
      <x:c r="H7" s="41" t="str">
        <x:v>NDA/BLA n</x:v>
      </x:c>
      <x:c r="I7" s="41" t="str">
        <x:v>NDA/BLA POS</x:v>
      </x:c>
      <x:c r="J7" s="41" t="str">
        <x:v>Phase I n</x:v>
      </x:c>
      <x:c r="K7" s="41" t="str">
        <x:v>Phase I to Approval</x:v>
      </x:c>
      <x:c r="L7" s="41" t="str">
        <x:v>Phase II n</x:v>
      </x:c>
      <x:c r="M7" s="41" t="str">
        <x:v>Phase II to Approval</x:v>
      </x:c>
      <x:c r="N7" s="41" t="str">
        <x:v>Phase III n</x:v>
      </x:c>
      <x:c r="O7" s="41" t="str">
        <x:v>Phase III to Approval</x:v>
      </x:c>
      <x:c r="P7" s="41" t="str">
        <x:v>NDA/BLA Approval n</x:v>
      </x:c>
      <x:c r="Q7" s="41" t="str">
        <x:v>NDA/BLA to Approval</x:v>
      </x:c>
      <x:c r="R7" s="41" t="str">
        <x:v>Source Figure</x:v>
      </x:c>
      <x:c r="S7" s="41" t="str">
        <x:v>Source Pages</x:v>
      </x:c>
      <x:c r="T7" s="41" t="str">
        <x:v>Notes</x:v>
      </x:c>
    </x:row>
    <x:row r="8">
      <x:c r="A8" s="10" t="str">
        <x:v>Hematologic</x:v>
      </x:c>
      <x:c r="B8" s="58" t="n">
        <x:v>425</x:v>
      </x:c>
      <x:c r="C8" s="56" t="n">
        <x:v>0.501</x:v>
      </x:c>
      <x:c r="D8" s="58" t="n">
        <x:v>449</x:v>
      </x:c>
      <x:c r="E8" s="56" t="n">
        <x:v>0.278</x:v>
      </x:c>
      <x:c r="F8" s="58" t="n">
        <x:v>120</x:v>
      </x:c>
      <x:c r="G8" s="56" t="n">
        <x:v>0.6</x:v>
      </x:c>
      <x:c r="H8" s="58" t="n">
        <x:v>100</x:v>
      </x:c>
      <x:c r="I8" s="56" t="n">
        <x:v>0.9</x:v>
      </x:c>
      <x:c r="J8" s="58" t="n">
        <x:v>1094</x:v>
      </x:c>
      <x:c r="K8" s="56" t="n">
        <x:v>0.075</x:v>
      </x:c>
      <x:c r="L8" s="58" t="n">
        <x:v>669</x:v>
      </x:c>
      <x:c r="M8" s="56" t="n">
        <x:v>0.15</x:v>
      </x:c>
      <x:c r="N8" s="58" t="n">
        <x:v>220</x:v>
      </x:c>
      <x:c r="O8" s="56" t="n">
        <x:v>0.54</x:v>
      </x:c>
      <x:c r="P8" s="58" t="n">
        <x:v>100</x:v>
      </x:c>
      <x:c r="Q8" s="56" t="n">
        <x:v>0.9</x:v>
      </x:c>
      <x:c r="R8" s="10" t="str">
        <x:v>Figure 7</x:v>
      </x:c>
      <x:c r="S8" s="10" t="str">
        <x:v>13</x:v>
      </x:c>
      <x:c r="T8" s="10" t="str">
        <x:v>Hematologic and solid tumor groups are mutually exclusive; IO spans both categories.</x:v>
      </x:c>
    </x:row>
    <x:row r="9">
      <x:c r="A9" s="10" t="str">
        <x:v>Solid</x:v>
      </x:c>
      <x:c r="B9" s="58" t="n">
        <x:v>1145</x:v>
      </x:c>
      <x:c r="C9" s="56" t="n">
        <x:v>0.489</x:v>
      </x:c>
      <x:c r="D9" s="58" t="n">
        <x:v>1261</x:v>
      </x:c>
      <x:c r="E9" s="56" t="n">
        <x:v>0.234</x:v>
      </x:c>
      <x:c r="F9" s="58" t="n">
        <x:v>364</x:v>
      </x:c>
      <x:c r="G9" s="56" t="n">
        <x:v>0.429</x:v>
      </x:c>
      <x:c r="H9" s="58" t="n">
        <x:v>212</x:v>
      </x:c>
      <x:c r="I9" s="56" t="n">
        <x:v>0.929</x:v>
      </x:c>
      <x:c r="J9" s="58" t="n">
        <x:v>2982</x:v>
      </x:c>
      <x:c r="K9" s="56" t="n">
        <x:v>0.046</x:v>
      </x:c>
      <x:c r="L9" s="58" t="n">
        <x:v>1837</x:v>
      </x:c>
      <x:c r="M9" s="56" t="n">
        <x:v>0.093</x:v>
      </x:c>
      <x:c r="N9" s="58" t="n">
        <x:v>576</x:v>
      </x:c>
      <x:c r="O9" s="56" t="n">
        <x:v>0.398</x:v>
      </x:c>
      <x:c r="P9" s="58" t="n">
        <x:v>212</x:v>
      </x:c>
      <x:c r="Q9" s="56" t="n">
        <x:v>0.929</x:v>
      </x:c>
      <x:c r="R9" s="10" t="str">
        <x:v>Figure 7</x:v>
      </x:c>
      <x:c r="S9" s="10" t="str">
        <x:v>13</x:v>
      </x:c>
      <x:c r="T9" s="10" t="str">
        <x:v>Hematologic and solid tumor groups are mutually exclusive; IO spans both categories.</x:v>
      </x:c>
    </x:row>
    <x:row r="10">
      <x:c r="A10" s="10" t="str">
        <x:v>IO</x:v>
      </x:c>
      <x:c r="B10" s="58" t="n">
        <x:v>275</x:v>
      </x:c>
      <x:c r="C10" s="56" t="n">
        <x:v>0.64</x:v>
      </x:c>
      <x:c r="D10" s="58" t="n">
        <x:v>244</x:v>
      </x:c>
      <x:c r="E10" s="56" t="n">
        <x:v>0.402</x:v>
      </x:c>
      <x:c r="F10" s="58" t="n">
        <x:v>98</x:v>
      </x:c>
      <x:c r="G10" s="56" t="n">
        <x:v>0.49</x:v>
      </x:c>
      <x:c r="H10" s="58" t="n">
        <x:v>62</x:v>
      </x:c>
      <x:c r="I10" s="56" t="n">
        <x:v>0.984</x:v>
      </x:c>
      <x:c r="J10" s="58" t="n">
        <x:v>679</x:v>
      </x:c>
      <x:c r="K10" s="56" t="n">
        <x:v>0.124</x:v>
      </x:c>
      <x:c r="L10" s="58" t="n">
        <x:v>404</x:v>
      </x:c>
      <x:c r="M10" s="56" t="n">
        <x:v>0.194</x:v>
      </x:c>
      <x:c r="N10" s="58" t="n">
        <x:v>160</x:v>
      </x:c>
      <x:c r="O10" s="56" t="n">
        <x:v>0.482</x:v>
      </x:c>
      <x:c r="P10" s="58" t="n">
        <x:v>62</x:v>
      </x:c>
      <x:c r="Q10" s="56" t="n">
        <x:v>0.984</x:v>
      </x:c>
      <x:c r="R10" s="10" t="str">
        <x:v>Figure 7</x:v>
      </x:c>
      <x:c r="S10" s="10" t="str">
        <x:v>13</x:v>
      </x:c>
      <x:c r="T10" s="10" t="str">
        <x:v>Hematologic and solid tumor groups are mutually exclusive; IO spans both categories.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</x:row>
    <x:row r="12">
      <x:c r="A12" s="61" t="str">
        <x:v>Prevalence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</x:row>
    <x:row r="13">
      <x:c r="A13" s="41" t="str">
        <x:v>Benchmark</x:v>
      </x:c>
      <x:c r="B13" s="41" t="str">
        <x:v>Phase I to II n</x:v>
      </x:c>
      <x:c r="C13" s="41" t="str">
        <x:v>Phase I to II POS</x:v>
      </x:c>
      <x:c r="D13" s="41" t="str">
        <x:v>Phase II to III n</x:v>
      </x:c>
      <x:c r="E13" s="41" t="str">
        <x:v>Phase II to III POS</x:v>
      </x:c>
      <x:c r="F13" s="41" t="str">
        <x:v>Phase III to NDA/BLA n</x:v>
      </x:c>
      <x:c r="G13" s="41" t="str">
        <x:v>Phase III to NDA/BLA POS</x:v>
      </x:c>
      <x:c r="H13" s="41" t="str">
        <x:v>NDA/BLA n</x:v>
      </x:c>
      <x:c r="I13" s="41" t="str">
        <x:v>NDA/BLA POS</x:v>
      </x:c>
      <x:c r="J13" s="41" t="str">
        <x:v>Phase I n</x:v>
      </x:c>
      <x:c r="K13" s="41" t="str">
        <x:v>Phase I to Approval</x:v>
      </x:c>
      <x:c r="L13" s="41" t="str">
        <x:v>Phase II n</x:v>
      </x:c>
      <x:c r="M13" s="41" t="str">
        <x:v>Phase II to Approval</x:v>
      </x:c>
      <x:c r="N13" s="41" t="str">
        <x:v>Phase III n</x:v>
      </x:c>
      <x:c r="O13" s="41" t="str">
        <x:v>Phase III to Approval</x:v>
      </x:c>
      <x:c r="P13" s="41" t="str">
        <x:v>NDA/BLA Approval n</x:v>
      </x:c>
      <x:c r="Q13" s="41" t="str">
        <x:v>NDA/BLA to Approval</x:v>
      </x:c>
      <x:c r="R13" s="41" t="str">
        <x:v>Source Figure</x:v>
      </x:c>
      <x:c r="S13" s="41" t="str">
        <x:v>Source Pages</x:v>
      </x:c>
      <x:c r="T13" s="41" t="str">
        <x:v>Notes</x:v>
      </x:c>
    </x:row>
    <x:row r="14">
      <x:c r="A14" s="10" t="str">
        <x:v>Rare diseases</x:v>
      </x:c>
      <x:c r="B14" s="58" t="n">
        <x:v>380</x:v>
      </x:c>
      <x:c r="C14" s="56" t="n">
        <x:v>0.674</x:v>
      </x:c>
      <x:c r="D14" s="58" t="n">
        <x:v>464</x:v>
      </x:c>
      <x:c r="E14" s="56" t="n">
        <x:v>0.446</x:v>
      </x:c>
      <x:c r="F14" s="58" t="n">
        <x:v>240</x:v>
      </x:c>
      <x:c r="G14" s="56" t="n">
        <x:v>0.604</x:v>
      </x:c>
      <x:c r="H14" s="58" t="n">
        <x:v>172</x:v>
      </x:c>
      <x:c r="I14" s="56" t="n">
        <x:v>0.936</x:v>
      </x:c>
      <x:c r="J14" s="58" t="n">
        <x:v>1256</x:v>
      </x:c>
      <x:c r="K14" s="56" t="n">
        <x:v>0.17</x:v>
      </x:c>
      <x:c r="L14" s="58" t="n">
        <x:v>876</x:v>
      </x:c>
      <x:c r="M14" s="56" t="n">
        <x:v>0.252</x:v>
      </x:c>
      <x:c r="N14" s="58" t="n">
        <x:v>412</x:v>
      </x:c>
      <x:c r="O14" s="56" t="n">
        <x:v>0.566</x:v>
      </x:c>
      <x:c r="P14" s="58" t="n">
        <x:v>172</x:v>
      </x:c>
      <x:c r="Q14" s="56" t="n">
        <x:v>0.936</x:v>
      </x:c>
      <x:c r="R14" s="10" t="str">
        <x:v>Figure 8b</x:v>
      </x:c>
      <x:c r="S14" s="10" t="str">
        <x:v>14</x:v>
      </x:c>
      <x:c r="T14" s="10" t="str">
        <x:v>Non-oncology rare disease and highly prevalent chronic disease benchmark.</x:v>
      </x:c>
    </x:row>
    <x:row r="15">
      <x:c r="A15" s="10" t="str">
        <x:v>Chronic, high prevalence diseases</x:v>
      </x:c>
      <x:c r="B15" s="58" t="n">
        <x:v>745</x:v>
      </x:c>
      <x:c r="C15" s="56" t="n">
        <x:v>0.46</x:v>
      </x:c>
      <x:c r="D15" s="58" t="n">
        <x:v>737</x:v>
      </x:c>
      <x:c r="E15" s="56" t="n">
        <x:v>0.231</x:v>
      </x:c>
      <x:c r="F15" s="58" t="n">
        <x:v>279</x:v>
      </x:c>
      <x:c r="G15" s="56" t="n">
        <x:v>0.595</x:v>
      </x:c>
      <x:c r="H15" s="58" t="n">
        <x:v>217</x:v>
      </x:c>
      <x:c r="I15" s="56" t="n">
        <x:v>0.926</x:v>
      </x:c>
      <x:c r="J15" s="58" t="n">
        <x:v>1978</x:v>
      </x:c>
      <x:c r="K15" s="56" t="n">
        <x:v>0.059</x:v>
      </x:c>
      <x:c r="L15" s="58" t="n">
        <x:v>1233</x:v>
      </x:c>
      <x:c r="M15" s="56" t="n">
        <x:v>0.127</x:v>
      </x:c>
      <x:c r="N15" s="58" t="n">
        <x:v>496</x:v>
      </x:c>
      <x:c r="O15" s="56" t="n">
        <x:v>0.551</x:v>
      </x:c>
      <x:c r="P15" s="58" t="n">
        <x:v>217</x:v>
      </x:c>
      <x:c r="Q15" s="56" t="n">
        <x:v>0.926</x:v>
      </x:c>
      <x:c r="R15" s="10" t="str">
        <x:v>Figure 8b</x:v>
      </x:c>
      <x:c r="S15" s="10" t="str">
        <x:v>14</x:v>
      </x:c>
      <x:c r="T15" s="10" t="str">
        <x:v>Non-oncology rare disease and highly prevalent chronic disease benchmark.</x:v>
      </x:c>
    </x:row>
    <x:row r="16">
      <x:c r="A16" s="10" t="str">
        <x:v>All diseases</x:v>
      </x:c>
      <x:c r="B16" s="58" t="n">
        <x:v>4414</x:v>
      </x:c>
      <x:c r="C16" s="56" t="n">
        <x:v>0.52</x:v>
      </x:c>
      <x:c r="D16" s="58" t="n">
        <x:v>4933</x:v>
      </x:c>
      <x:c r="E16" s="56" t="n">
        <x:v>0.289</x:v>
      </x:c>
      <x:c r="F16" s="58" t="n">
        <x:v>1928</x:v>
      </x:c>
      <x:c r="G16" s="56" t="n">
        <x:v>0.578</x:v>
      </x:c>
      <x:c r="H16" s="58" t="n">
        <x:v>1453</x:v>
      </x:c>
      <x:c r="I16" s="56" t="n">
        <x:v>0.906</x:v>
      </x:c>
      <x:c r="J16" s="58" t="n">
        <x:v>12728</x:v>
      </x:c>
      <x:c r="K16" s="56" t="n">
        <x:v>0.079</x:v>
      </x:c>
      <x:c r="L16" s="58" t="n">
        <x:v>8314</x:v>
      </x:c>
      <x:c r="M16" s="56" t="n">
        <x:v>0.151</x:v>
      </x:c>
      <x:c r="N16" s="58" t="n">
        <x:v>3381</x:v>
      </x:c>
      <x:c r="O16" s="56" t="n">
        <x:v>0.524</x:v>
      </x:c>
      <x:c r="P16" s="58" t="n">
        <x:v>1453</x:v>
      </x:c>
      <x:c r="Q16" s="56" t="n">
        <x:v>0.906</x:v>
      </x:c>
      <x:c r="R16" s="10" t="str">
        <x:v>Figure 8b</x:v>
      </x:c>
      <x:c r="S16" s="10" t="str">
        <x:v>14</x:v>
      </x:c>
      <x:c r="T16" s="10" t="str">
        <x:v>Non-oncology rare disease and highly prevalent chronic disease benchmark.</x:v>
      </x:c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</x:row>
    <x:row r="18">
      <x:c r="A18" s="61" t="str">
        <x:v>Biomarker</x:v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</x:row>
    <x:row r="19">
      <x:c r="A19" s="41" t="str">
        <x:v>Benchmark</x:v>
      </x:c>
      <x:c r="B19" s="41" t="str">
        <x:v>Phase I to II n</x:v>
      </x:c>
      <x:c r="C19" s="41" t="str">
        <x:v>Phase I to II POS</x:v>
      </x:c>
      <x:c r="D19" s="41" t="str">
        <x:v>Phase II to III n</x:v>
      </x:c>
      <x:c r="E19" s="41" t="str">
        <x:v>Phase II to III POS</x:v>
      </x:c>
      <x:c r="F19" s="41" t="str">
        <x:v>Phase III to NDA/BLA n</x:v>
      </x:c>
      <x:c r="G19" s="41" t="str">
        <x:v>Phase III to NDA/BLA POS</x:v>
      </x:c>
      <x:c r="H19" s="41" t="str">
        <x:v>NDA/BLA n</x:v>
      </x:c>
      <x:c r="I19" s="41" t="str">
        <x:v>NDA/BLA POS</x:v>
      </x:c>
      <x:c r="J19" s="41" t="str">
        <x:v>Phase I n</x:v>
      </x:c>
      <x:c r="K19" s="41" t="str">
        <x:v>Phase I to Approval</x:v>
      </x:c>
      <x:c r="L19" s="41" t="str">
        <x:v>Phase II n</x:v>
      </x:c>
      <x:c r="M19" s="41" t="str">
        <x:v>Phase II to Approval</x:v>
      </x:c>
      <x:c r="N19" s="41" t="str">
        <x:v>Phase III n</x:v>
      </x:c>
      <x:c r="O19" s="41" t="str">
        <x:v>Phase III to Approval</x:v>
      </x:c>
      <x:c r="P19" s="41" t="str">
        <x:v>NDA/BLA Approval n</x:v>
      </x:c>
      <x:c r="Q19" s="41" t="str">
        <x:v>NDA/BLA to Approval</x:v>
      </x:c>
      <x:c r="R19" s="41" t="str">
        <x:v>Source Figure</x:v>
      </x:c>
      <x:c r="S19" s="41" t="str">
        <x:v>Source Pages</x:v>
      </x:c>
      <x:c r="T19" s="41" t="str">
        <x:v>Notes</x:v>
      </x:c>
    </x:row>
    <x:row r="20">
      <x:c r="A20" s="10" t="str">
        <x:v>Preselection biomarkers</x:v>
      </x:c>
      <x:c r="B20" s="58" t="n">
        <x:v>414</x:v>
      </x:c>
      <x:c r="C20" s="56" t="n">
        <x:v>0.524</x:v>
      </x:c>
      <x:c r="D20" s="58" t="n">
        <x:v>149</x:v>
      </x:c>
      <x:c r="E20" s="56" t="n">
        <x:v>0.463</x:v>
      </x:c>
      <x:c r="F20" s="58" t="n">
        <x:v>129</x:v>
      </x:c>
      <x:c r="G20" s="56" t="n">
        <x:v>0.682</x:v>
      </x:c>
      <x:c r="H20" s="58" t="n">
        <x:v>75</x:v>
      </x:c>
      <x:c r="I20" s="56" t="n">
        <x:v>0.96</x:v>
      </x:c>
      <x:c r="J20" s="58" t="n">
        <x:v>767</x:v>
      </x:c>
      <x:c r="K20" s="56" t="n">
        <x:v>0.159</x:v>
      </x:c>
      <x:c r="L20" s="58" t="n">
        <x:v>353</x:v>
      </x:c>
      <x:c r="M20" s="56" t="n">
        <x:v>0.303</x:v>
      </x:c>
      <x:c r="N20" s="58" t="n">
        <x:v>204</x:v>
      </x:c>
      <x:c r="O20" s="56" t="n">
        <x:v>0.655</x:v>
      </x:c>
      <x:c r="P20" s="58" t="n">
        <x:v>75</x:v>
      </x:c>
      <x:c r="Q20" s="56" t="n">
        <x:v>0.96</x:v>
      </x:c>
      <x:c r="R20" s="10" t="str">
        <x:v>Figure 11</x:v>
      </x:c>
      <x:c r="S20" s="10" t="str">
        <x:v>18</x:v>
      </x:c>
      <x:c r="T20" s="10" t="str">
        <x:v>Patient preselection biomarker benchmark.</x:v>
      </x:c>
    </x:row>
    <x:row r="21">
      <x:c r="A21" s="10" t="str">
        <x:v>No biomarkers</x:v>
      </x:c>
      <x:c r="B21" s="58" t="n">
        <x:v>4000</x:v>
      </x:c>
      <x:c r="C21" s="56" t="n">
        <x:v>0.52</x:v>
      </x:c>
      <x:c r="D21" s="58" t="n">
        <x:v>4784</x:v>
      </x:c>
      <x:c r="E21" s="56" t="n">
        <x:v>0.283</x:v>
      </x:c>
      <x:c r="F21" s="58" t="n">
        <x:v>1799</x:v>
      </x:c>
      <x:c r="G21" s="56" t="n">
        <x:v>0.571</x:v>
      </x:c>
      <x:c r="H21" s="58" t="n">
        <x:v>1378</x:v>
      </x:c>
      <x:c r="I21" s="56" t="n">
        <x:v>0.903</x:v>
      </x:c>
      <x:c r="J21" s="58" t="n">
        <x:v>11961</x:v>
      </x:c>
      <x:c r="K21" s="56" t="n">
        <x:v>0.076</x:v>
      </x:c>
      <x:c r="L21" s="58" t="n">
        <x:v>7961</x:v>
      </x:c>
      <x:c r="M21" s="56" t="n">
        <x:v>0.146</x:v>
      </x:c>
      <x:c r="N21" s="58" t="n">
        <x:v>3177</x:v>
      </x:c>
      <x:c r="O21" s="56" t="n">
        <x:v>0.515</x:v>
      </x:c>
      <x:c r="P21" s="58" t="n">
        <x:v>1378</x:v>
      </x:c>
      <x:c r="Q21" s="56" t="n">
        <x:v>0.903</x:v>
      </x:c>
      <x:c r="R21" s="10" t="str">
        <x:v>Figure 11</x:v>
      </x:c>
      <x:c r="S21" s="10" t="str">
        <x:v>18</x:v>
      </x:c>
      <x:c r="T21" s="10" t="str">
        <x:v>Patient preselection biomarker benchmark.</x:v>
      </x:c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</x:row>
  </x:sheetData>
  <x:mergeCells>
    <x:mergeCell ref="A1:T1"/>
    <x:mergeCell ref="A6:T6"/>
    <x:mergeCell ref="A12:T12"/>
    <x:mergeCell ref="A18:T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25" t="str">
        <x:v>Phases</x:v>
      </x:c>
      <x:c r="B1" s="25" t="str">
        <x:v>Disease Areas</x:v>
      </x:c>
      <x:c r="C1" s="25" t="str">
        <x:v>Modalities</x:v>
      </x:c>
      <x:c r="D1" s="25" t="str">
        <x:v>Drug Class/Novelty</x:v>
      </x:c>
      <x:c r="E1" s="25" t="str">
        <x:v>Oncology Groups</x:v>
      </x:c>
      <x:c r="F1" s="25" t="str">
        <x:v>Prevalence Categories</x:v>
      </x:c>
      <x:c r="G1" s="25" t="str">
        <x:v>Biomarker Status</x:v>
      </x:c>
    </x:row>
    <x:row r="2">
      <x:c r="A2" t="str">
        <x:v>Phase I</x:v>
      </x:c>
      <x:c r="B2" t="str">
        <x:v>Hematology</x:v>
      </x:c>
      <x:c r="C2" t="str">
        <x:v>CAR-T</x:v>
      </x:c>
      <x:c r="D2" t="str">
        <x:v>Novel</x:v>
      </x:c>
      <x:c r="E2" t="str">
        <x:v>N/A</x:v>
      </x:c>
      <x:c r="F2" t="str">
        <x:v>N/A</x:v>
      </x:c>
      <x:c r="G2" t="str">
        <x:v>N/A</x:v>
      </x:c>
    </x:row>
    <x:row r="3">
      <x:c r="A3" t="str">
        <x:v>Phase II</x:v>
      </x:c>
      <x:c r="B3" t="str">
        <x:v>Metabolic</x:v>
      </x:c>
      <x:c r="C3" t="str">
        <x:v>siRNA/RNAi</x:v>
      </x:c>
      <x:c r="D3" t="str">
        <x:v>NME</x:v>
      </x:c>
      <x:c r="E3" t="str">
        <x:v>Oncology</x:v>
      </x:c>
      <x:c r="F3" t="str">
        <x:v>Rare diseases</x:v>
      </x:c>
      <x:c r="G3" t="str">
        <x:v>Preselection biomarkers</x:v>
      </x:c>
    </x:row>
    <x:row r="4">
      <x:c r="A4" t="str">
        <x:v>Phase III</x:v>
      </x:c>
      <x:c r="B4" t="str">
        <x:v>Infectious disease</x:v>
      </x:c>
      <x:c r="C4" t="str">
        <x:v>Monoclonal antibody</x:v>
      </x:c>
      <x:c r="D4" t="str">
        <x:v>Biologic</x:v>
      </x:c>
      <x:c r="E4" t="str">
        <x:v>Non-oncology</x:v>
      </x:c>
      <x:c r="F4" t="str">
        <x:v>Chronic, high prevalence diseases</x:v>
      </x:c>
      <x:c r="G4" t="str">
        <x:v>No biomarkers</x:v>
      </x:c>
    </x:row>
    <x:row r="5">
      <x:c r="A5" t="str">
        <x:v>NDA/BLA</x:v>
      </x:c>
      <x:c r="B5" t="str">
        <x:v>Others</x:v>
      </x:c>
      <x:c r="C5" t="str">
        <x:v>ADCs</x:v>
      </x:c>
      <x:c r="D5" t="str">
        <x:v>Vaccine</x:v>
      </x:c>
      <x:c r="E5" t="str">
        <x:v>Hematologic</x:v>
      </x:c>
      <x:c r="F5" t="str">
        <x:v>All diseases</x:v>
      </x:c>
      <x:c r="G5"/>
    </x:row>
    <x:row r="6">
      <x:c r="A6"/>
      <x:c r="B6" t="str">
        <x:v>Ophthalmology</x:v>
      </x:c>
      <x:c r="C6" t="str">
        <x:v>Gene therapy</x:v>
      </x:c>
      <x:c r="D6" t="str">
        <x:v>Off-Patent</x:v>
      </x:c>
      <x:c r="E6" t="str">
        <x:v>Solid</x:v>
      </x:c>
      <x:c r="F6"/>
      <x:c r="G6"/>
    </x:row>
    <x:row r="7">
      <x:c r="A7"/>
      <x:c r="B7" t="str">
        <x:v>Autoimmune</x:v>
      </x:c>
      <x:c r="C7" t="str">
        <x:v>Vaccine</x:v>
      </x:c>
      <x:c r="D7" t="str">
        <x:v>Non-NME</x:v>
      </x:c>
      <x:c r="E7" t="str">
        <x:v>IO</x:v>
      </x:c>
      <x:c r="F7"/>
      <x:c r="G7"/>
    </x:row>
    <x:row r="8">
      <x:c r="A8"/>
      <x:c r="B8" t="str">
        <x:v>Allergy</x:v>
      </x:c>
      <x:c r="C8" t="str">
        <x:v>Protein</x:v>
      </x:c>
      <x:c r="D8" t="str">
        <x:v>Biosimilar</x:v>
      </x:c>
      <x:c r="E8"/>
      <x:c r="F8"/>
      <x:c r="G8"/>
    </x:row>
    <x:row r="9">
      <x:c r="A9"/>
      <x:c r="B9" t="str">
        <x:v>Gastroenterology</x:v>
      </x:c>
      <x:c r="C9" t="str">
        <x:v>Peptide</x:v>
      </x:c>
      <x:c r="D9"/>
      <x:c r="E9"/>
      <x:c r="F9"/>
      <x:c r="G9"/>
    </x:row>
    <x:row r="10">
      <x:c r="A10"/>
      <x:c r="B10" t="str">
        <x:v>All indications</x:v>
      </x:c>
      <x:c r="C10" t="str">
        <x:v>Small molecule</x:v>
      </x:c>
      <x:c r="D10"/>
      <x:c r="E10"/>
      <x:c r="F10"/>
      <x:c r="G10"/>
    </x:row>
    <x:row r="11">
      <x:c r="A11"/>
      <x:c r="B11" t="str">
        <x:v>Respiratory</x:v>
      </x:c>
      <x:c r="C11" t="str">
        <x:v>Antisense</x:v>
      </x:c>
      <x:c r="D11"/>
      <x:c r="E11"/>
      <x:c r="F11"/>
      <x:c r="G11"/>
    </x:row>
    <x:row r="12">
      <x:c r="A12"/>
      <x:c r="B12" t="str">
        <x:v>Psychiatry</x:v>
      </x:c>
      <x:c r="C12"/>
      <x:c r="D12"/>
      <x:c r="E12"/>
      <x:c r="F12"/>
      <x:c r="G12"/>
    </x:row>
    <x:row r="13">
      <x:c r="A13"/>
      <x:c r="B13" t="str">
        <x:v>Endocrine</x:v>
      </x:c>
      <x:c r="C13"/>
      <x:c r="D13"/>
      <x:c r="E13"/>
      <x:c r="F13"/>
      <x:c r="G13"/>
    </x:row>
    <x:row r="14">
      <x:c r="A14"/>
      <x:c r="B14" t="str">
        <x:v>Neurology</x:v>
      </x:c>
      <x:c r="C14"/>
      <x:c r="D14"/>
      <x:c r="E14"/>
      <x:c r="F14"/>
      <x:c r="G14"/>
    </x:row>
    <x:row r="15">
      <x:c r="A15"/>
      <x:c r="B15" t="str">
        <x:v>Oncology</x:v>
      </x:c>
      <x:c r="C15"/>
      <x:c r="D15"/>
      <x:c r="E15"/>
      <x:c r="F15"/>
      <x:c r="G15"/>
    </x:row>
    <x:row r="16">
      <x:c r="A16"/>
      <x:c r="B16" t="str">
        <x:v>Cardiovascular</x:v>
      </x:c>
      <x:c r="C16"/>
      <x:c r="D16"/>
      <x:c r="E16"/>
      <x:c r="F16"/>
      <x:c r="G16"/>
    </x:row>
    <x:row r="17">
      <x:c r="A17"/>
      <x:c r="B17" t="str">
        <x:v>Urology</x:v>
      </x:c>
      <x:c r="C17"/>
      <x:c r="D17"/>
      <x:c r="E17"/>
      <x:c r="F17"/>
      <x:c r="G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28" hidden="0" customWidth="1"/>
  </x:cols>
  <x:sheetData>
    <x:row r="1">
      <x:c r="A1" s="40" t="str">
        <x:v>Source-Based Method Notes</x:v>
      </x:c>
      <x:c r="B1" s="10"/>
      <x:c r="C1" s="10"/>
    </x:row>
    <x:row r="2">
      <x:c r="A2" s="41" t="str">
        <x:v>Item</x:v>
      </x:c>
      <x:c r="B2" s="41" t="str">
        <x:v>Workbook treatment</x:v>
      </x:c>
      <x:c r="C2" s="41" t="str">
        <x:v>Source page(s) / figure</x:v>
      </x:c>
    </x:row>
    <x:row r="3">
      <x:c r="A3" s="10" t="str">
        <x:v>Phase transition POS</x:v>
      </x:c>
      <x:c r="B3" s="10" t="str">
        <x:v>Success rate for moving to the next phase. The source calculates it as Advanced / (Advanced + Suspended).</x:v>
      </x:c>
      <x:c r="C3" s="10" t="str">
        <x:v>p. 6, p. 30</x:v>
      </x:c>
    </x:row>
    <x:row r="4">
      <x:c r="A4" s="10" t="str">
        <x:v>Likelihood of Approval (LOA)</x:v>
      </x:c>
      <x:c r="B4" s="10" t="str">
        <x:v>Probability of FDA approval from current phase. Used as the main PoS output in the calculator.</x:v>
      </x:c>
      <x:c r="C4" s="10" t="str">
        <x:v>p. 9-11, p. 30</x:v>
      </x:c>
    </x:row>
    <x:row r="5">
      <x:c r="A5" s="10" t="str">
        <x:v>n value</x:v>
      </x:c>
      <x:c r="B5" s="10" t="str">
        <x:v>Used in the calculator as source-only N weight for the optional composite. n is the number of Advanced + Suspended transitions included in the calculation.</x:v>
      </x:c>
      <x:c r="C5" s="10" t="str">
        <x:v>p. 6, p. 30</x:v>
      </x:c>
    </x:row>
    <x:row r="6">
      <x:c r="A6" s="10" t="str">
        <x:v>Drug program unit</x:v>
      </x:c>
      <x:c r="B6" s="10" t="str">
        <x:v>The source tracks a specific drug-indication path, not a molecule-only path.</x:v>
      </x:c>
      <x:c r="C6" s="10" t="str">
        <x:v>p. 30</x:v>
      </x:c>
    </x:row>
    <x:row r="7">
      <x:c r="A7" s="10" t="str">
        <x:v>Disease area</x:v>
      </x:c>
      <x:c r="B7" s="10" t="str">
        <x:v>Disease area LOA is the primary source-only output because the source says indication is consistently ranked the top variable across all clinical development phases.</x:v>
      </x:c>
      <x:c r="C7" s="10" t="str">
        <x:v>p. 21</x:v>
      </x:c>
    </x:row>
    <x:row r="8">
      <x:c r="A8" s="10" t="str">
        <x:v>Modality</x:v>
      </x:c>
      <x:c r="B8" s="10" t="str">
        <x:v>Modality tables are included as separate benchmarks. The source identifies modality as an important predictor and provides LOA by modality.</x:v>
      </x:c>
      <x:c r="C8" s="10" t="str">
        <x:v>p. 16-17, p. 22</x:v>
      </x:c>
    </x:row>
    <x:row r="9">
      <x:c r="A9" s="10" t="str">
        <x:v>Biomarker</x:v>
      </x:c>
      <x:c r="B9" s="10" t="str">
        <x:v>Biomarker status is included as a separate benchmark. The source reports higher LOA for preselection biomarker programs.</x:v>
      </x:c>
      <x:c r="C9" s="10" t="str">
        <x:v>p. 17-18</x:v>
      </x:c>
    </x:row>
    <x:row r="10">
      <x:c r="A10" s="10" t="str">
        <x:v>Limitations</x:v>
      </x:c>
      <x:c r="B10" s="10" t="str">
        <x:v>The source does not publish cross-tabbed disease × modality PoS values. The optional composite is therefore a mechanical N-weighted blend of source tables, not a source-published model.</x:v>
      </x:c>
      <x:c r="C10" s="10" t="str">
        <x:v>Workbook interpretation based on available source tables</x:v>
      </x:c>
    </x:row>
    <x:row r="11">
      <x:c r="A11" s="10" t="str">
        <x:v>No external data</x:v>
      </x:c>
      <x:c r="B11" s="10" t="str">
        <x:v>No internet sources or non-source facts were used.</x:v>
      </x:c>
      <x:c r="C11" s="10" t="str">
        <x:v>User instruction</x:v>
      </x:c>
    </x:row>
  </x:sheetData>
  <x:mergeCells>
    <x:mergeCell ref="A1:C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8" hidden="0" customWidth="1"/>
  </x:cols>
  <x:sheetData>
    <x:row r="1">
      <x:c r="A1" s="25" t="str">
        <x:v>Disease Area</x:v>
      </x:c>
      <x:c r="B1" s="25" t="str">
        <x:v>Phase I to Approval LOA</x:v>
      </x:c>
      <x:c r="D1" s="25" t="str">
        <x:v>Modality</x:v>
      </x:c>
      <x:c r="E1" s="25" t="str">
        <x:v>Phase I to Approval LOA</x:v>
      </x:c>
    </x:row>
    <x:row r="2">
      <x:c r="A2" t="str">
        <x:v>Hematology</x:v>
      </x:c>
      <x:c r="B2" s="66" t="n">
        <x:v>0.239</x:v>
      </x:c>
      <x:c r="D2" t="str">
        <x:v>CAR-T</x:v>
      </x:c>
      <x:c r="E2" s="66" t="n">
        <x:v>0.173</x:v>
      </x:c>
    </x:row>
    <x:row r="3">
      <x:c r="A3" t="str">
        <x:v>Metabolic</x:v>
      </x:c>
      <x:c r="B3" s="66" t="n">
        <x:v>0.155</x:v>
      </x:c>
      <x:c r="D3" t="str">
        <x:v>siRNA/RNAi</x:v>
      </x:c>
      <x:c r="E3" s="66" t="n">
        <x:v>0.135</x:v>
      </x:c>
    </x:row>
    <x:row r="4">
      <x:c r="A4" t="str">
        <x:v>Infectious disease</x:v>
      </x:c>
      <x:c r="B4" s="66" t="n">
        <x:v>0.132</x:v>
      </x:c>
      <x:c r="D4" t="str">
        <x:v>Monoclonal antibody</x:v>
      </x:c>
      <x:c r="E4" s="66" t="n">
        <x:v>0.121</x:v>
      </x:c>
    </x:row>
    <x:row r="5">
      <x:c r="A5" t="str">
        <x:v>Others</x:v>
      </x:c>
      <x:c r="B5" s="66" t="n">
        <x:v>0.13</x:v>
      </x:c>
      <x:c r="D5" t="str">
        <x:v>ADCs</x:v>
      </x:c>
      <x:c r="E5" s="66" t="n">
        <x:v>0.108</x:v>
      </x:c>
    </x:row>
    <x:row r="6">
      <x:c r="A6" t="str">
        <x:v>Ophthalmology</x:v>
      </x:c>
      <x:c r="B6" s="66" t="n">
        <x:v>0.119</x:v>
      </x:c>
      <x:c r="D6" t="str">
        <x:v>Gene therapy</x:v>
      </x:c>
      <x:c r="E6" s="66" t="n">
        <x:v>0.1</x:v>
      </x:c>
    </x:row>
    <x:row r="7">
      <x:c r="A7" t="str">
        <x:v>Autoimmune</x:v>
      </x:c>
      <x:c r="B7" s="66" t="n">
        <x:v>0.107</x:v>
      </x:c>
      <x:c r="D7" t="str">
        <x:v>Vaccine</x:v>
      </x:c>
      <x:c r="E7" s="66" t="n">
        <x:v>0.097</x:v>
      </x:c>
    </x:row>
    <x:row r="8">
      <x:c r="A8" t="str">
        <x:v>Allergy</x:v>
      </x:c>
      <x:c r="B8" s="66" t="n">
        <x:v>0.103</x:v>
      </x:c>
      <x:c r="D8" t="str">
        <x:v>Protein</x:v>
      </x:c>
      <x:c r="E8" s="66" t="n">
        <x:v>0.094</x:v>
      </x:c>
    </x:row>
    <x:row r="9">
      <x:c r="A9" t="str">
        <x:v>Gastroenterology</x:v>
      </x:c>
      <x:c r="B9" s="66" t="n">
        <x:v>0.083</x:v>
      </x:c>
      <x:c r="D9" t="str">
        <x:v>Peptide</x:v>
      </x:c>
      <x:c r="E9" s="66" t="n">
        <x:v>0.08</x:v>
      </x:c>
    </x:row>
    <x:row r="10">
      <x:c r="A10" t="str">
        <x:v>All indications</x:v>
      </x:c>
      <x:c r="B10" s="66" t="n">
        <x:v>0.079</x:v>
      </x:c>
      <x:c r="D10" t="str">
        <x:v>Small molecule</x:v>
      </x:c>
      <x:c r="E10" s="66" t="n">
        <x:v>0.075</x:v>
      </x:c>
    </x:row>
    <x:row r="11">
      <x:c r="A11" t="str">
        <x:v>Respiratory</x:v>
      </x:c>
      <x:c r="B11" s="66" t="n">
        <x:v>0.075</x:v>
      </x:c>
      <x:c r="D11" t="str">
        <x:v>Antisense</x:v>
      </x:c>
      <x:c r="E11" s="66" t="n">
        <x:v>0.052</x:v>
      </x:c>
    </x:row>
    <x:row r="12">
      <x:c r="A12" t="str">
        <x:v>Psychiatry</x:v>
      </x:c>
      <x:c r="B12" s="66" t="n">
        <x:v>0.073</x:v>
      </x:c>
    </x:row>
    <x:row r="13">
      <x:c r="A13" t="str">
        <x:v>Endocrine</x:v>
      </x:c>
      <x:c r="B13" s="66" t="n">
        <x:v>0.066</x:v>
      </x:c>
    </x:row>
    <x:row r="14">
      <x:c r="A14" t="str">
        <x:v>Neurology</x:v>
      </x:c>
      <x:c r="B14" s="66" t="n">
        <x:v>0.059</x:v>
      </x:c>
    </x:row>
    <x:row r="15">
      <x:c r="A15" t="str">
        <x:v>Oncology</x:v>
      </x:c>
      <x:c r="B15" s="66" t="n">
        <x:v>0.053</x:v>
      </x:c>
    </x:row>
    <x:row r="16">
      <x:c r="A16" t="str">
        <x:v>Cardiovascular</x:v>
      </x:c>
      <x:c r="B16" s="66" t="n">
        <x:v>0.048</x:v>
      </x:c>
    </x:row>
    <x:row r="17">
      <x:c r="A17" t="str">
        <x:v>Urology</x:v>
      </x:c>
      <x:c r="B17" s="66" t="n">
        <x:v>0.036</x:v>
      </x:c>
    </x:row>
  </x:sheetData>
  <x:conditionalFormatting sqref="B2:B1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1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f0c626a28f845e3"/>
</x:worksheet>
</file>